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travel-tracker\"/>
    </mc:Choice>
  </mc:AlternateContent>
  <xr:revisionPtr revIDLastSave="0" documentId="13_ncr:1_{40D80CF8-9511-42CD-8281-595981F0987D}" xr6:coauthVersionLast="47" xr6:coauthVersionMax="47" xr10:uidLastSave="{00000000-0000-0000-0000-000000000000}"/>
  <bookViews>
    <workbookView xWindow="-120" yWindow="-120" windowWidth="29040" windowHeight="15720" tabRatio="669" autoFilterDateGrouping="0" xr2:uid="{00000000-000D-0000-FFFF-FFFF00000000}"/>
  </bookViews>
  <sheets>
    <sheet name="Build" sheetId="26" r:id="rId1"/>
    <sheet name="Cities" sheetId="14" r:id="rId2"/>
    <sheet name="Countries" sheetId="17" r:id="rId3"/>
    <sheet name="Trips" sheetId="19" r:id="rId4"/>
    <sheet name="By Year" sheetId="24" r:id="rId5"/>
    <sheet name="Airports" sheetId="21" r:id="rId6"/>
    <sheet name="Flights" sheetId="20" r:id="rId7"/>
    <sheet name="Airlines" sheetId="23" r:id="rId8"/>
    <sheet name="HomeOrWork" sheetId="25" state="veryHidden" r:id="rId9"/>
  </sheets>
  <functionGroups builtInGroupCount="19"/>
  <definedNames>
    <definedName name="_xlpm.c" hidden="1" xlm="1">#NAME?</definedName>
    <definedName name="INTERPRETER_WIN">"C:\dev\travel-tracker\venv\Scripts\python.exe"</definedName>
    <definedName name="PYTHON_WIN">"C:\dev\travel-tracker\venv\Scripts\python.exe"</definedName>
    <definedName name="PYTHONPATH">"C:\dev\travel-tracker"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4" l="1"/>
  <c r="H3" i="14" a="1"/>
  <c r="H3" i="14" s="1"/>
  <c r="J3" i="14"/>
  <c r="K3" i="14"/>
  <c r="A2" i="20"/>
  <c r="A3" i="20"/>
  <c r="G2" i="21"/>
  <c r="G3" i="21"/>
  <c r="H3" i="21"/>
  <c r="H2" i="21"/>
  <c r="C2" i="19"/>
  <c r="A2" i="14"/>
  <c r="H2" i="14" a="1"/>
  <c r="H2" i="14" s="1"/>
  <c r="K40" i="17"/>
  <c r="K76" i="17"/>
  <c r="K87" i="17"/>
  <c r="K182" i="17"/>
  <c r="K187" i="17"/>
  <c r="K198" i="17"/>
  <c r="K210" i="17"/>
  <c r="G30" i="17" a="1"/>
  <c r="G30" i="17" s="1"/>
  <c r="K8" i="17"/>
  <c r="K13" i="17"/>
  <c r="K55" i="17"/>
  <c r="K134" i="17"/>
  <c r="K162" i="17"/>
  <c r="K144" i="17"/>
  <c r="K244" i="17"/>
  <c r="K243" i="17"/>
  <c r="K203" i="17"/>
  <c r="K137" i="17"/>
  <c r="K242" i="17"/>
  <c r="K189" i="17"/>
  <c r="K240" i="17"/>
  <c r="K236" i="17"/>
  <c r="K233" i="17"/>
  <c r="K31" i="17"/>
  <c r="K238" i="17"/>
  <c r="K188" i="17"/>
  <c r="K237" i="17"/>
  <c r="K235" i="17"/>
  <c r="K234" i="17"/>
  <c r="K228" i="17"/>
  <c r="K229" i="17"/>
  <c r="K216" i="17"/>
  <c r="K227" i="17"/>
  <c r="K222" i="17"/>
  <c r="K221" i="17"/>
  <c r="K223" i="17"/>
  <c r="K225" i="17"/>
  <c r="K218" i="17"/>
  <c r="K220" i="17"/>
  <c r="K215" i="17"/>
  <c r="K219" i="17"/>
  <c r="K43" i="17"/>
  <c r="K226" i="17"/>
  <c r="K69" i="17"/>
  <c r="K213" i="17"/>
  <c r="K65" i="17"/>
  <c r="K191" i="17"/>
  <c r="K205" i="17"/>
  <c r="K209" i="17"/>
  <c r="K202" i="17"/>
  <c r="K193" i="17"/>
  <c r="K196" i="17"/>
  <c r="K183" i="17"/>
  <c r="K208" i="17"/>
  <c r="K195" i="17"/>
  <c r="K201" i="17"/>
  <c r="K192" i="17"/>
  <c r="K181" i="17"/>
  <c r="K178" i="17"/>
  <c r="K177" i="17"/>
  <c r="K170" i="17"/>
  <c r="K166" i="17"/>
  <c r="K167" i="17"/>
  <c r="K176" i="17"/>
  <c r="K173" i="17"/>
  <c r="K165" i="17"/>
  <c r="K169" i="17"/>
  <c r="K77" i="17"/>
  <c r="K171" i="17"/>
  <c r="K164" i="17"/>
  <c r="K157" i="17"/>
  <c r="K149" i="17"/>
  <c r="K150" i="17"/>
  <c r="K154" i="17"/>
  <c r="K156" i="17"/>
  <c r="K158" i="17"/>
  <c r="K155" i="17"/>
  <c r="K152" i="17"/>
  <c r="K148" i="17"/>
  <c r="K146" i="17"/>
  <c r="K128" i="17"/>
  <c r="K130" i="17"/>
  <c r="K136" i="17"/>
  <c r="K135" i="17"/>
  <c r="K142" i="17"/>
  <c r="K147" i="17"/>
  <c r="K131" i="17"/>
  <c r="K160" i="17"/>
  <c r="K133" i="17"/>
  <c r="K127" i="17"/>
  <c r="K186" i="17"/>
  <c r="K145" i="17"/>
  <c r="K122" i="17"/>
  <c r="K118" i="17"/>
  <c r="K124" i="17"/>
  <c r="K120" i="17"/>
  <c r="K121" i="17"/>
  <c r="K207" i="17"/>
  <c r="K185" i="17"/>
  <c r="K119" i="17"/>
  <c r="K112" i="17"/>
  <c r="K41" i="17"/>
  <c r="K115" i="17"/>
  <c r="K159" i="17"/>
  <c r="K184" i="17"/>
  <c r="K49" i="17"/>
  <c r="K114" i="17"/>
  <c r="K116" i="17"/>
  <c r="K113" i="17"/>
  <c r="K111" i="17"/>
  <c r="K108" i="17"/>
  <c r="K110" i="17"/>
  <c r="K101" i="17"/>
  <c r="K102" i="17"/>
  <c r="K99" i="17"/>
  <c r="K104" i="17"/>
  <c r="K105" i="17"/>
  <c r="K94" i="17"/>
  <c r="K95" i="17"/>
  <c r="K93" i="17"/>
  <c r="K92" i="17"/>
  <c r="K5" i="17"/>
  <c r="K88" i="17"/>
  <c r="K89" i="17"/>
  <c r="K66" i="17"/>
  <c r="K91" i="17"/>
  <c r="K79" i="17"/>
  <c r="K85" i="17"/>
  <c r="K82" i="17"/>
  <c r="K90" i="17"/>
  <c r="K86" i="17"/>
  <c r="K78" i="17"/>
  <c r="K72" i="17"/>
  <c r="K139" i="17"/>
  <c r="K71" i="17"/>
  <c r="K73" i="17"/>
  <c r="K70" i="17"/>
  <c r="K67" i="17"/>
  <c r="K241" i="17"/>
  <c r="K64" i="17"/>
  <c r="K68" i="17"/>
  <c r="K63" i="17"/>
  <c r="K4" i="17"/>
  <c r="K61" i="17"/>
  <c r="K60" i="17"/>
  <c r="K59" i="17"/>
  <c r="K46" i="17"/>
  <c r="K36" i="17"/>
  <c r="K54" i="17"/>
  <c r="K48" i="17"/>
  <c r="K38" i="17"/>
  <c r="K44" i="17"/>
  <c r="K51" i="17"/>
  <c r="K107" i="17"/>
  <c r="K50" i="17"/>
  <c r="K42" i="17"/>
  <c r="K62" i="17"/>
  <c r="K47" i="17"/>
  <c r="K23" i="17"/>
  <c r="K21" i="17"/>
  <c r="K29" i="17"/>
  <c r="K26" i="17"/>
  <c r="K17" i="17"/>
  <c r="K30" i="17"/>
  <c r="K27" i="17"/>
  <c r="K32" i="17"/>
  <c r="K25" i="17"/>
  <c r="K24" i="17"/>
  <c r="K35" i="17"/>
  <c r="K18" i="17"/>
  <c r="K33" i="17"/>
  <c r="K34" i="17"/>
  <c r="K19" i="17"/>
  <c r="K20" i="17"/>
  <c r="K16" i="17"/>
  <c r="K14" i="17"/>
  <c r="K11" i="17"/>
  <c r="K9" i="17"/>
  <c r="K7" i="17"/>
  <c r="K12" i="17"/>
  <c r="K3" i="17"/>
  <c r="K10" i="17"/>
  <c r="K2" i="17"/>
  <c r="K6" i="17"/>
  <c r="G15" i="17" a="1"/>
  <c r="G15" i="17" s="1"/>
  <c r="G22" i="17" a="1"/>
  <c r="G22" i="17" s="1"/>
  <c r="G28" i="17" a="1"/>
  <c r="G28" i="17" s="1"/>
  <c r="G37" i="17" a="1"/>
  <c r="G37" i="17" s="1"/>
  <c r="G39" i="17" a="1"/>
  <c r="G39" i="17" s="1"/>
  <c r="G45" i="17" a="1"/>
  <c r="G45" i="17" s="1"/>
  <c r="G52" i="17" a="1"/>
  <c r="G52" i="17" s="1"/>
  <c r="G53" i="17" a="1"/>
  <c r="G53" i="17" s="1"/>
  <c r="G56" i="17" a="1"/>
  <c r="G56" i="17" s="1"/>
  <c r="G57" i="17" a="1"/>
  <c r="G57" i="17" s="1"/>
  <c r="G58" i="17" a="1"/>
  <c r="G58" i="17" s="1"/>
  <c r="G75" i="17" a="1"/>
  <c r="G75" i="17" s="1"/>
  <c r="G80" i="17" a="1"/>
  <c r="G80" i="17" s="1"/>
  <c r="G81" i="17" a="1"/>
  <c r="G81" i="17" s="1"/>
  <c r="G83" i="17" a="1"/>
  <c r="G83" i="17" s="1"/>
  <c r="G84" i="17" a="1"/>
  <c r="G84" i="17" s="1"/>
  <c r="G96" i="17" a="1"/>
  <c r="G96" i="17" s="1"/>
  <c r="G97" i="17" a="1"/>
  <c r="G97" i="17" s="1"/>
  <c r="G98" i="17" a="1"/>
  <c r="G98" i="17" s="1"/>
  <c r="G100" i="17" a="1"/>
  <c r="G100" i="17" s="1"/>
  <c r="G103" i="17" a="1"/>
  <c r="G103" i="17" s="1"/>
  <c r="G106" i="17" a="1"/>
  <c r="G106" i="17" s="1"/>
  <c r="G109" i="17" a="1"/>
  <c r="G109" i="17" s="1"/>
  <c r="G123" i="17" a="1"/>
  <c r="G123" i="17" s="1"/>
  <c r="G125" i="17" a="1"/>
  <c r="G125" i="17" s="1"/>
  <c r="G126" i="17" a="1"/>
  <c r="G126" i="17" s="1"/>
  <c r="G129" i="17" a="1"/>
  <c r="G129" i="17" s="1"/>
  <c r="G132" i="17" a="1"/>
  <c r="G132" i="17" s="1"/>
  <c r="G138" i="17" a="1"/>
  <c r="G138" i="17" s="1"/>
  <c r="G140" i="17" a="1"/>
  <c r="G140" i="17" s="1"/>
  <c r="G141" i="17" a="1"/>
  <c r="G141" i="17" s="1"/>
  <c r="G143" i="17" a="1"/>
  <c r="G143" i="17" s="1"/>
  <c r="G151" i="17" a="1"/>
  <c r="G151" i="17" s="1"/>
  <c r="G153" i="17" a="1"/>
  <c r="G153" i="17" s="1"/>
  <c r="G161" i="17" a="1"/>
  <c r="G161" i="17" s="1"/>
  <c r="G163" i="17" a="1"/>
  <c r="G163" i="17" s="1"/>
  <c r="G168" i="17" a="1"/>
  <c r="G168" i="17" s="1"/>
  <c r="G172" i="17" a="1"/>
  <c r="G172" i="17" s="1"/>
  <c r="G174" i="17" a="1"/>
  <c r="G174" i="17" s="1"/>
  <c r="G175" i="17" a="1"/>
  <c r="G175" i="17" s="1"/>
  <c r="G179" i="17" a="1"/>
  <c r="G179" i="17" s="1"/>
  <c r="G180" i="17" a="1"/>
  <c r="G180" i="17" s="1"/>
  <c r="G190" i="17" a="1"/>
  <c r="G190" i="17" s="1"/>
  <c r="G194" i="17" a="1"/>
  <c r="G194" i="17" s="1"/>
  <c r="G197" i="17" a="1"/>
  <c r="G197" i="17" s="1"/>
  <c r="G199" i="17" a="1"/>
  <c r="G199" i="17" s="1"/>
  <c r="G200" i="17" a="1"/>
  <c r="G200" i="17" s="1"/>
  <c r="G204" i="17" a="1"/>
  <c r="G204" i="17" s="1"/>
  <c r="G206" i="17" a="1"/>
  <c r="G206" i="17" s="1"/>
  <c r="G211" i="17" a="1"/>
  <c r="G211" i="17" s="1"/>
  <c r="G212" i="17" a="1"/>
  <c r="G212" i="17" s="1"/>
  <c r="G214" i="17" a="1"/>
  <c r="G214" i="17" s="1"/>
  <c r="G217" i="17" a="1"/>
  <c r="G217" i="17" s="1"/>
  <c r="G224" i="17" a="1"/>
  <c r="G224" i="17" s="1"/>
  <c r="G230" i="17" a="1"/>
  <c r="G230" i="17" s="1"/>
  <c r="G231" i="17" a="1"/>
  <c r="G231" i="17" s="1"/>
  <c r="G232" i="17" a="1"/>
  <c r="G232" i="17" s="1"/>
  <c r="G239" i="17" a="1"/>
  <c r="G239" i="17" s="1"/>
  <c r="G117" i="17" a="1"/>
  <c r="G117" i="17" s="1"/>
  <c r="G74" i="17" a="1"/>
  <c r="G74" i="17" s="1"/>
  <c r="E2" i="24" a="1"/>
  <c r="E2" i="24" s="1"/>
  <c r="C2" i="24" s="1" a="1"/>
  <c r="C2" i="24" s="1"/>
  <c r="E3" i="24" a="1"/>
  <c r="E3" i="24" s="1"/>
  <c r="C3" i="24" s="1" a="1"/>
  <c r="C3" i="24" s="1"/>
  <c r="E4" i="24" a="1"/>
  <c r="E4" i="24" s="1"/>
  <c r="C4" i="24" s="1" a="1"/>
  <c r="C4" i="24" s="1"/>
  <c r="E5" i="24" a="1"/>
  <c r="E5" i="24" s="1"/>
  <c r="C5" i="24" s="1" a="1"/>
  <c r="C5" i="24" s="1"/>
  <c r="E6" i="24" a="1"/>
  <c r="E6" i="24" s="1"/>
  <c r="C6" i="24" s="1" a="1"/>
  <c r="C6" i="24" s="1"/>
  <c r="E7" i="24" a="1"/>
  <c r="E7" i="24" s="1"/>
  <c r="C7" i="24" s="1" a="1"/>
  <c r="C7" i="24" s="1"/>
  <c r="E8" i="24" a="1"/>
  <c r="E8" i="24" s="1"/>
  <c r="C8" i="24" s="1" a="1"/>
  <c r="C8" i="24" s="1"/>
  <c r="E9" i="24" a="1"/>
  <c r="E9" i="24" s="1"/>
  <c r="C9" i="24" s="1" a="1"/>
  <c r="C9" i="24" s="1"/>
  <c r="E10" i="24" a="1"/>
  <c r="E10" i="24" s="1"/>
  <c r="C10" i="24" s="1" a="1"/>
  <c r="C10" i="24" s="1"/>
  <c r="E11" i="24" a="1"/>
  <c r="E11" i="24" s="1"/>
  <c r="C11" i="24" s="1" a="1"/>
  <c r="C11" i="24" s="1"/>
  <c r="E12" i="24" a="1"/>
  <c r="E12" i="24" s="1"/>
  <c r="C12" i="24" s="1" a="1"/>
  <c r="C12" i="24" s="1"/>
  <c r="E13" i="24" a="1"/>
  <c r="E13" i="24" s="1"/>
  <c r="C13" i="24" s="1" a="1"/>
  <c r="C13" i="24" s="1"/>
  <c r="E14" i="24" a="1"/>
  <c r="E14" i="24" s="1"/>
  <c r="C14" i="24" s="1" a="1"/>
  <c r="C14" i="24" s="1"/>
  <c r="D2" i="24" a="1"/>
  <c r="D2" i="24" s="1"/>
  <c r="B2" i="24" s="1" a="1"/>
  <c r="B2" i="24" s="1"/>
  <c r="D3" i="24" a="1"/>
  <c r="D3" i="24" s="1"/>
  <c r="B3" i="24" s="1" a="1"/>
  <c r="B3" i="24" s="1"/>
  <c r="D4" i="24" a="1"/>
  <c r="D4" i="24" s="1"/>
  <c r="B4" i="24" s="1" a="1"/>
  <c r="B4" i="24" s="1"/>
  <c r="D5" i="24" a="1"/>
  <c r="D5" i="24" s="1"/>
  <c r="B5" i="24" s="1" a="1"/>
  <c r="B5" i="24" s="1"/>
  <c r="D6" i="24" a="1"/>
  <c r="D6" i="24" s="1"/>
  <c r="B6" i="24" s="1" a="1"/>
  <c r="B6" i="24" s="1"/>
  <c r="D7" i="24" a="1"/>
  <c r="D7" i="24" s="1"/>
  <c r="B7" i="24" s="1" a="1"/>
  <c r="B7" i="24" s="1"/>
  <c r="D8" i="24" a="1"/>
  <c r="D8" i="24" s="1"/>
  <c r="B8" i="24" s="1" a="1"/>
  <c r="B8" i="24" s="1"/>
  <c r="D9" i="24" a="1"/>
  <c r="D9" i="24" s="1"/>
  <c r="B9" i="24" s="1" a="1"/>
  <c r="B9" i="24" s="1"/>
  <c r="D10" i="24" a="1"/>
  <c r="D10" i="24" s="1"/>
  <c r="B10" i="24" s="1" a="1"/>
  <c r="B10" i="24" s="1"/>
  <c r="D11" i="24" a="1"/>
  <c r="D11" i="24" s="1"/>
  <c r="B11" i="24" s="1" a="1"/>
  <c r="B11" i="24" s="1"/>
  <c r="D12" i="24" a="1"/>
  <c r="D12" i="24" s="1"/>
  <c r="B12" i="24" s="1" a="1"/>
  <c r="B12" i="24" s="1"/>
  <c r="D13" i="24" a="1"/>
  <c r="D13" i="24" s="1"/>
  <c r="B13" i="24" s="1" a="1"/>
  <c r="B13" i="24" s="1"/>
  <c r="D14" i="24" a="1"/>
  <c r="D14" i="24" s="1"/>
  <c r="B14" i="24" s="1" a="1"/>
  <c r="B14" i="24" s="1"/>
  <c r="J2" i="14"/>
  <c r="H83" i="17"/>
  <c r="C1" i="25" a="1"/>
  <c r="C1" i="25" s="1"/>
  <c r="K15" i="17"/>
  <c r="K22" i="17"/>
  <c r="K28" i="17"/>
  <c r="K37" i="17"/>
  <c r="K39" i="17"/>
  <c r="K45" i="17"/>
  <c r="K52" i="17"/>
  <c r="K53" i="17"/>
  <c r="K56" i="17"/>
  <c r="K57" i="17"/>
  <c r="K58" i="17"/>
  <c r="K75" i="17"/>
  <c r="K80" i="17"/>
  <c r="K81" i="17"/>
  <c r="K83" i="17"/>
  <c r="K84" i="17"/>
  <c r="K96" i="17"/>
  <c r="K97" i="17"/>
  <c r="K98" i="17"/>
  <c r="K100" i="17"/>
  <c r="K103" i="17"/>
  <c r="K106" i="17"/>
  <c r="K109" i="17"/>
  <c r="K123" i="17"/>
  <c r="K125" i="17"/>
  <c r="K126" i="17"/>
  <c r="K129" i="17"/>
  <c r="K132" i="17"/>
  <c r="K138" i="17"/>
  <c r="K140" i="17"/>
  <c r="K141" i="17"/>
  <c r="K143" i="17"/>
  <c r="K151" i="17"/>
  <c r="K153" i="17"/>
  <c r="K161" i="17"/>
  <c r="K163" i="17"/>
  <c r="K168" i="17"/>
  <c r="K172" i="17"/>
  <c r="K174" i="17"/>
  <c r="K175" i="17"/>
  <c r="K179" i="17"/>
  <c r="K180" i="17"/>
  <c r="K190" i="17"/>
  <c r="K194" i="17"/>
  <c r="K197" i="17"/>
  <c r="K199" i="17"/>
  <c r="K200" i="17"/>
  <c r="K204" i="17"/>
  <c r="K206" i="17"/>
  <c r="K211" i="17"/>
  <c r="K212" i="17"/>
  <c r="K214" i="17"/>
  <c r="K217" i="17"/>
  <c r="K224" i="17"/>
  <c r="K230" i="17"/>
  <c r="K231" i="17"/>
  <c r="K232" i="17"/>
  <c r="K239" i="17"/>
  <c r="K117" i="17"/>
  <c r="K74" i="17"/>
  <c r="I83" i="17"/>
  <c r="I117" i="17"/>
  <c r="H117" i="17"/>
  <c r="F3" i="14" a="1"/>
  <c r="E2" i="14" a="1"/>
  <c r="G3" i="14" a="1"/>
  <c r="F2" i="14" a="1"/>
  <c r="E3" i="14" a="1"/>
  <c r="G2" i="14" a="1"/>
  <c r="E3" i="14" l="1"/>
  <c r="G3" i="14"/>
  <c r="F3" i="14"/>
  <c r="K2" i="14"/>
  <c r="G2" i="14"/>
  <c r="F2" i="14"/>
  <c r="E2" i="14"/>
  <c r="I96" i="17"/>
  <c r="I141" i="17"/>
  <c r="I143" i="17"/>
  <c r="I80" i="17"/>
  <c r="I140" i="17"/>
  <c r="I161" i="17"/>
  <c r="I224" i="17"/>
  <c r="H56" i="17"/>
  <c r="H28" i="17"/>
  <c r="I179" i="17"/>
  <c r="H163" i="17"/>
  <c r="I153" i="17"/>
  <c r="I194" i="17"/>
  <c r="H126" i="17"/>
  <c r="I28" i="17"/>
  <c r="H172" i="17"/>
  <c r="H96" i="17"/>
  <c r="H199" i="17"/>
  <c r="A1" i="25" a="1"/>
  <c r="A1" i="25" s="1"/>
  <c r="H52" i="17"/>
  <c r="I168" i="17"/>
  <c r="I37" i="17"/>
  <c r="I239" i="17"/>
  <c r="I217" i="17"/>
  <c r="I98" i="17"/>
  <c r="H230" i="17"/>
  <c r="I230" i="17"/>
  <c r="I204" i="17"/>
  <c r="I175" i="17"/>
  <c r="I103" i="17"/>
  <c r="I81" i="17"/>
  <c r="H81" i="17"/>
  <c r="H200" i="17"/>
  <c r="I132" i="17"/>
  <c r="I151" i="17"/>
  <c r="H84" i="17"/>
  <c r="I129" i="17"/>
  <c r="I97" i="17"/>
  <c r="I214" i="17"/>
  <c r="H224" i="17"/>
  <c r="H53" i="17"/>
  <c r="I174" i="17"/>
  <c r="I22" i="17"/>
  <c r="I197" i="17"/>
  <c r="H194" i="17"/>
  <c r="I106" i="17"/>
  <c r="H161" i="17"/>
  <c r="I57" i="17"/>
  <c r="I231" i="17"/>
  <c r="H125" i="17"/>
  <c r="I200" i="17"/>
  <c r="I172" i="17"/>
  <c r="H217" i="17"/>
  <c r="H190" i="17"/>
  <c r="H153" i="17"/>
  <c r="H123" i="17"/>
  <c r="I199" i="17"/>
  <c r="I163" i="17"/>
  <c r="I126" i="17"/>
  <c r="I56" i="17"/>
  <c r="I206" i="17"/>
  <c r="H214" i="17"/>
  <c r="H180" i="17"/>
  <c r="H151" i="17"/>
  <c r="H109" i="17"/>
  <c r="H39" i="17"/>
  <c r="I125" i="17"/>
  <c r="I84" i="17"/>
  <c r="I53" i="17"/>
  <c r="H212" i="17"/>
  <c r="H179" i="17"/>
  <c r="H143" i="17"/>
  <c r="H106" i="17"/>
  <c r="H80" i="17"/>
  <c r="H37" i="17"/>
  <c r="I190" i="17"/>
  <c r="I123" i="17"/>
  <c r="I39" i="17"/>
  <c r="H239" i="17"/>
  <c r="H211" i="17"/>
  <c r="H175" i="17"/>
  <c r="H141" i="17"/>
  <c r="H103" i="17"/>
  <c r="H75" i="17"/>
  <c r="I180" i="17"/>
  <c r="I109" i="17"/>
  <c r="H232" i="17"/>
  <c r="H204" i="17"/>
  <c r="H174" i="17"/>
  <c r="H140" i="17"/>
  <c r="H98" i="17"/>
  <c r="H58" i="17"/>
  <c r="H22" i="17"/>
  <c r="I212" i="17"/>
  <c r="H231" i="17"/>
  <c r="H132" i="17"/>
  <c r="H97" i="17"/>
  <c r="H57" i="17"/>
  <c r="H15" i="17"/>
  <c r="I211" i="17"/>
  <c r="I75" i="17"/>
  <c r="I232" i="17"/>
  <c r="I58" i="17"/>
  <c r="I15" i="17"/>
  <c r="H45" i="17"/>
  <c r="I52" i="17"/>
  <c r="H197" i="17"/>
  <c r="H168" i="17"/>
  <c r="H138" i="17"/>
  <c r="I45" i="17"/>
  <c r="H100" i="17"/>
  <c r="I138" i="17"/>
  <c r="H129" i="17"/>
  <c r="I100" i="17"/>
  <c r="H206" i="17"/>
  <c r="G8" i="17" l="1" a="1"/>
  <c r="G8" i="17" s="1"/>
  <c r="H8" i="17"/>
  <c r="I8" i="17"/>
  <c r="G13" i="17" a="1"/>
  <c r="G13" i="17" s="1"/>
  <c r="H13" i="17"/>
  <c r="I13" i="17"/>
  <c r="G182" i="17" a="1"/>
  <c r="G182" i="17" s="1"/>
  <c r="H182" i="17"/>
  <c r="I182" i="17"/>
  <c r="G40" i="17" a="1"/>
  <c r="G40" i="17" s="1"/>
  <c r="H40" i="17"/>
  <c r="I40" i="17"/>
  <c r="G55" i="17" a="1"/>
  <c r="G55" i="17" s="1"/>
  <c r="H55" i="17"/>
  <c r="I55" i="17"/>
  <c r="G87" i="17" a="1"/>
  <c r="G87" i="17" s="1"/>
  <c r="H87" i="17"/>
  <c r="I87" i="17"/>
  <c r="G134" i="17" a="1"/>
  <c r="G134" i="17" s="1"/>
  <c r="H134" i="17"/>
  <c r="I134" i="17"/>
  <c r="G162" i="17" a="1"/>
  <c r="G162" i="17" s="1"/>
  <c r="H162" i="17"/>
  <c r="I162" i="17"/>
  <c r="G144" i="17" a="1"/>
  <c r="G144" i="17" s="1"/>
  <c r="H144" i="17"/>
  <c r="I144" i="17"/>
  <c r="G244" i="17" a="1"/>
  <c r="G244" i="17" s="1"/>
  <c r="H244" i="17"/>
  <c r="I244" i="17"/>
  <c r="G243" i="17" a="1"/>
  <c r="G243" i="17" s="1"/>
  <c r="H243" i="17"/>
  <c r="I243" i="17"/>
  <c r="G203" i="17" a="1"/>
  <c r="G203" i="17" s="1"/>
  <c r="H203" i="17"/>
  <c r="I203" i="17"/>
  <c r="G137" i="17" a="1"/>
  <c r="G137" i="17" s="1"/>
  <c r="H137" i="17"/>
  <c r="I137" i="17"/>
  <c r="G242" i="17" a="1"/>
  <c r="G242" i="17" s="1"/>
  <c r="H242" i="17"/>
  <c r="I242" i="17"/>
  <c r="G189" i="17" a="1"/>
  <c r="G189" i="17" s="1"/>
  <c r="H189" i="17"/>
  <c r="I189" i="17"/>
  <c r="I240" i="17"/>
  <c r="G240" i="17" a="1"/>
  <c r="G240" i="17" s="1"/>
  <c r="H240" i="17"/>
  <c r="G236" i="17" a="1"/>
  <c r="G236" i="17" s="1"/>
  <c r="H236" i="17"/>
  <c r="I236" i="17"/>
  <c r="G233" i="17" a="1"/>
  <c r="G233" i="17" s="1"/>
  <c r="H233" i="17"/>
  <c r="I233" i="17"/>
  <c r="G31" i="17" a="1"/>
  <c r="G31" i="17" s="1"/>
  <c r="H31" i="17"/>
  <c r="I31" i="17"/>
  <c r="G238" i="17" a="1"/>
  <c r="G238" i="17" s="1"/>
  <c r="H238" i="17"/>
  <c r="I238" i="17"/>
  <c r="G188" i="17" a="1"/>
  <c r="G188" i="17" s="1"/>
  <c r="H188" i="17"/>
  <c r="I188" i="17"/>
  <c r="G237" i="17" a="1"/>
  <c r="G237" i="17" s="1"/>
  <c r="H237" i="17"/>
  <c r="I237" i="17"/>
  <c r="G235" i="17" a="1"/>
  <c r="G235" i="17" s="1"/>
  <c r="H235" i="17"/>
  <c r="I235" i="17"/>
  <c r="G234" i="17" a="1"/>
  <c r="G234" i="17" s="1"/>
  <c r="H234" i="17"/>
  <c r="I234" i="17"/>
  <c r="G228" i="17" a="1"/>
  <c r="G228" i="17" s="1"/>
  <c r="H228" i="17"/>
  <c r="I228" i="17"/>
  <c r="G229" i="17" a="1"/>
  <c r="G229" i="17" s="1"/>
  <c r="H229" i="17"/>
  <c r="I229" i="17"/>
  <c r="G216" i="17" a="1"/>
  <c r="G216" i="17" s="1"/>
  <c r="H216" i="17"/>
  <c r="I216" i="17"/>
  <c r="G227" i="17" a="1"/>
  <c r="G227" i="17" s="1"/>
  <c r="H227" i="17"/>
  <c r="I227" i="17"/>
  <c r="G222" i="17" a="1"/>
  <c r="G222" i="17" s="1"/>
  <c r="H222" i="17"/>
  <c r="I222" i="17"/>
  <c r="G221" i="17" a="1"/>
  <c r="G221" i="17" s="1"/>
  <c r="H221" i="17"/>
  <c r="I221" i="17"/>
  <c r="G223" i="17" a="1"/>
  <c r="G223" i="17" s="1"/>
  <c r="H223" i="17"/>
  <c r="I223" i="17"/>
  <c r="G225" i="17" a="1"/>
  <c r="G225" i="17" s="1"/>
  <c r="H225" i="17"/>
  <c r="I225" i="17"/>
  <c r="G218" i="17" a="1"/>
  <c r="G218" i="17" s="1"/>
  <c r="H218" i="17"/>
  <c r="I218" i="17"/>
  <c r="G220" i="17" a="1"/>
  <c r="G220" i="17" s="1"/>
  <c r="H220" i="17"/>
  <c r="I220" i="17"/>
  <c r="G215" i="17" a="1"/>
  <c r="G215" i="17" s="1"/>
  <c r="H215" i="17"/>
  <c r="I215" i="17"/>
  <c r="G219" i="17" a="1"/>
  <c r="G219" i="17" s="1"/>
  <c r="H219" i="17"/>
  <c r="I219" i="17"/>
  <c r="G43" i="17" a="1"/>
  <c r="G43" i="17" s="1"/>
  <c r="H43" i="17"/>
  <c r="I43" i="17"/>
  <c r="G226" i="17" a="1"/>
  <c r="G226" i="17" s="1"/>
  <c r="H226" i="17"/>
  <c r="I226" i="17"/>
  <c r="G69" i="17" a="1"/>
  <c r="G69" i="17" s="1"/>
  <c r="H69" i="17"/>
  <c r="I69" i="17"/>
  <c r="G213" i="17" a="1"/>
  <c r="G213" i="17" s="1"/>
  <c r="H213" i="17"/>
  <c r="I213" i="17"/>
  <c r="G198" i="17" a="1"/>
  <c r="G198" i="17" s="1"/>
  <c r="H198" i="17"/>
  <c r="I198" i="17"/>
  <c r="G65" i="17" a="1"/>
  <c r="G65" i="17" s="1"/>
  <c r="H65" i="17"/>
  <c r="I65" i="17"/>
  <c r="G191" i="17" a="1"/>
  <c r="G191" i="17" s="1"/>
  <c r="H191" i="17"/>
  <c r="I191" i="17"/>
  <c r="G205" i="17" a="1"/>
  <c r="G205" i="17" s="1"/>
  <c r="H205" i="17"/>
  <c r="I205" i="17"/>
  <c r="G209" i="17" a="1"/>
  <c r="G209" i="17" s="1"/>
  <c r="I209" i="17"/>
  <c r="H209" i="17"/>
  <c r="G202" i="17" a="1"/>
  <c r="G202" i="17" s="1"/>
  <c r="H202" i="17"/>
  <c r="I202" i="17"/>
  <c r="G193" i="17" a="1"/>
  <c r="G193" i="17" s="1"/>
  <c r="H193" i="17"/>
  <c r="I193" i="17"/>
  <c r="G196" i="17" a="1"/>
  <c r="G196" i="17" s="1"/>
  <c r="H196" i="17"/>
  <c r="I196" i="17"/>
  <c r="G210" i="17" a="1"/>
  <c r="G210" i="17" s="1"/>
  <c r="H210" i="17"/>
  <c r="I210" i="17"/>
  <c r="G183" i="17" a="1"/>
  <c r="G183" i="17" s="1"/>
  <c r="H183" i="17"/>
  <c r="I183" i="17"/>
  <c r="G208" i="17" a="1"/>
  <c r="G208" i="17" s="1"/>
  <c r="H208" i="17"/>
  <c r="I208" i="17"/>
  <c r="G195" i="17" a="1"/>
  <c r="G195" i="17" s="1"/>
  <c r="H195" i="17"/>
  <c r="I195" i="17"/>
  <c r="G201" i="17" a="1"/>
  <c r="G201" i="17" s="1"/>
  <c r="H201" i="17"/>
  <c r="I201" i="17"/>
  <c r="G192" i="17" a="1"/>
  <c r="G192" i="17" s="1"/>
  <c r="H192" i="17"/>
  <c r="I192" i="17"/>
  <c r="G181" i="17" a="1"/>
  <c r="G181" i="17" s="1"/>
  <c r="H181" i="17"/>
  <c r="I181" i="17"/>
  <c r="G178" i="17" a="1"/>
  <c r="G178" i="17" s="1"/>
  <c r="H178" i="17"/>
  <c r="I178" i="17"/>
  <c r="G187" i="17" a="1"/>
  <c r="G187" i="17" s="1"/>
  <c r="H187" i="17"/>
  <c r="I187" i="17"/>
  <c r="G177" i="17" a="1"/>
  <c r="G177" i="17" s="1"/>
  <c r="H177" i="17"/>
  <c r="I177" i="17"/>
  <c r="G170" i="17" a="1"/>
  <c r="G170" i="17" s="1"/>
  <c r="H170" i="17"/>
  <c r="I170" i="17"/>
  <c r="G166" i="17" a="1"/>
  <c r="G166" i="17" s="1"/>
  <c r="H166" i="17"/>
  <c r="I166" i="17"/>
  <c r="G167" i="17" a="1"/>
  <c r="G167" i="17" s="1"/>
  <c r="H167" i="17"/>
  <c r="I167" i="17"/>
  <c r="G176" i="17" a="1"/>
  <c r="G176" i="17" s="1"/>
  <c r="H176" i="17"/>
  <c r="I176" i="17"/>
  <c r="G173" i="17" a="1"/>
  <c r="G173" i="17" s="1"/>
  <c r="H173" i="17"/>
  <c r="I173" i="17"/>
  <c r="G165" i="17" a="1"/>
  <c r="G165" i="17" s="1"/>
  <c r="H165" i="17"/>
  <c r="I165" i="17"/>
  <c r="G169" i="17" a="1"/>
  <c r="G169" i="17" s="1"/>
  <c r="H169" i="17"/>
  <c r="I169" i="17"/>
  <c r="G77" i="17" a="1"/>
  <c r="G77" i="17" s="1"/>
  <c r="H77" i="17"/>
  <c r="I77" i="17"/>
  <c r="G171" i="17" a="1"/>
  <c r="G171" i="17" s="1"/>
  <c r="H171" i="17"/>
  <c r="I171" i="17"/>
  <c r="G164" i="17" a="1"/>
  <c r="G164" i="17" s="1"/>
  <c r="H164" i="17"/>
  <c r="I164" i="17"/>
  <c r="G157" i="17" a="1"/>
  <c r="G157" i="17" s="1"/>
  <c r="H157" i="17"/>
  <c r="I157" i="17"/>
  <c r="G149" i="17" a="1"/>
  <c r="G149" i="17" s="1"/>
  <c r="H149" i="17"/>
  <c r="I149" i="17"/>
  <c r="G150" i="17" a="1"/>
  <c r="G150" i="17" s="1"/>
  <c r="H150" i="17"/>
  <c r="I150" i="17"/>
  <c r="G154" i="17" a="1"/>
  <c r="G154" i="17" s="1"/>
  <c r="H154" i="17"/>
  <c r="I154" i="17"/>
  <c r="G156" i="17" a="1"/>
  <c r="G156" i="17" s="1"/>
  <c r="H156" i="17"/>
  <c r="I156" i="17"/>
  <c r="G158" i="17" a="1"/>
  <c r="G158" i="17" s="1"/>
  <c r="H158" i="17"/>
  <c r="I158" i="17"/>
  <c r="G155" i="17" a="1"/>
  <c r="G155" i="17" s="1"/>
  <c r="H155" i="17"/>
  <c r="I155" i="17"/>
  <c r="G152" i="17" a="1"/>
  <c r="G152" i="17" s="1"/>
  <c r="H152" i="17"/>
  <c r="I152" i="17"/>
  <c r="G148" i="17" a="1"/>
  <c r="G148" i="17" s="1"/>
  <c r="H148" i="17"/>
  <c r="I148" i="17"/>
  <c r="G146" i="17" a="1"/>
  <c r="G146" i="17" s="1"/>
  <c r="H146" i="17"/>
  <c r="I146" i="17"/>
  <c r="G128" i="17" a="1"/>
  <c r="G128" i="17" s="1"/>
  <c r="H128" i="17"/>
  <c r="I128" i="17"/>
  <c r="G130" i="17" a="1"/>
  <c r="G130" i="17" s="1"/>
  <c r="H130" i="17"/>
  <c r="I130" i="17"/>
  <c r="G136" i="17" a="1"/>
  <c r="G136" i="17" s="1"/>
  <c r="H136" i="17"/>
  <c r="I136" i="17"/>
  <c r="G135" i="17" a="1"/>
  <c r="G135" i="17" s="1"/>
  <c r="H135" i="17"/>
  <c r="I135" i="17"/>
  <c r="G142" i="17" a="1"/>
  <c r="G142" i="17" s="1"/>
  <c r="H142" i="17"/>
  <c r="I142" i="17"/>
  <c r="G147" i="17" a="1"/>
  <c r="G147" i="17" s="1"/>
  <c r="H147" i="17"/>
  <c r="I147" i="17"/>
  <c r="G131" i="17" a="1"/>
  <c r="G131" i="17" s="1"/>
  <c r="H131" i="17"/>
  <c r="I131" i="17"/>
  <c r="G160" i="17" a="1"/>
  <c r="G160" i="17" s="1"/>
  <c r="H160" i="17"/>
  <c r="I160" i="17"/>
  <c r="G133" i="17" a="1"/>
  <c r="G133" i="17" s="1"/>
  <c r="H133" i="17"/>
  <c r="I133" i="17"/>
  <c r="G127" i="17" a="1"/>
  <c r="G127" i="17" s="1"/>
  <c r="H127" i="17"/>
  <c r="I127" i="17"/>
  <c r="G186" i="17" a="1"/>
  <c r="G186" i="17" s="1"/>
  <c r="H186" i="17"/>
  <c r="I186" i="17"/>
  <c r="G145" i="17" a="1"/>
  <c r="G145" i="17" s="1"/>
  <c r="H145" i="17"/>
  <c r="I145" i="17"/>
  <c r="G122" i="17" a="1"/>
  <c r="G122" i="17" s="1"/>
  <c r="H122" i="17"/>
  <c r="I122" i="17"/>
  <c r="G118" i="17" a="1"/>
  <c r="G118" i="17" s="1"/>
  <c r="H118" i="17"/>
  <c r="I118" i="17"/>
  <c r="G124" i="17" a="1"/>
  <c r="G124" i="17" s="1"/>
  <c r="H124" i="17"/>
  <c r="I124" i="17"/>
  <c r="G120" i="17" a="1"/>
  <c r="G120" i="17" s="1"/>
  <c r="H120" i="17"/>
  <c r="I120" i="17"/>
  <c r="G121" i="17" a="1"/>
  <c r="G121" i="17" s="1"/>
  <c r="H121" i="17"/>
  <c r="I121" i="17"/>
  <c r="G207" i="17" a="1"/>
  <c r="G207" i="17" s="1"/>
  <c r="H207" i="17"/>
  <c r="I207" i="17"/>
  <c r="G185" i="17" a="1"/>
  <c r="G185" i="17" s="1"/>
  <c r="H185" i="17"/>
  <c r="I185" i="17"/>
  <c r="G119" i="17" a="1"/>
  <c r="G119" i="17" s="1"/>
  <c r="H119" i="17"/>
  <c r="I119" i="17"/>
  <c r="G112" i="17" a="1"/>
  <c r="G112" i="17" s="1"/>
  <c r="H112" i="17"/>
  <c r="I112" i="17"/>
  <c r="G41" i="17" a="1"/>
  <c r="G41" i="17" s="1"/>
  <c r="H41" i="17"/>
  <c r="I41" i="17"/>
  <c r="G115" i="17" a="1"/>
  <c r="G115" i="17" s="1"/>
  <c r="H115" i="17"/>
  <c r="I115" i="17"/>
  <c r="G159" i="17" a="1"/>
  <c r="G159" i="17" s="1"/>
  <c r="H159" i="17"/>
  <c r="I159" i="17"/>
  <c r="G184" i="17" a="1"/>
  <c r="G184" i="17" s="1"/>
  <c r="H184" i="17"/>
  <c r="I184" i="17"/>
  <c r="G49" i="17" a="1"/>
  <c r="G49" i="17" s="1"/>
  <c r="H49" i="17"/>
  <c r="I49" i="17"/>
  <c r="G114" i="17" a="1"/>
  <c r="G114" i="17" s="1"/>
  <c r="H114" i="17"/>
  <c r="I114" i="17"/>
  <c r="G116" i="17" a="1"/>
  <c r="G116" i="17" s="1"/>
  <c r="H116" i="17"/>
  <c r="I116" i="17"/>
  <c r="G113" i="17" a="1"/>
  <c r="G113" i="17" s="1"/>
  <c r="H113" i="17"/>
  <c r="I113" i="17"/>
  <c r="G111" i="17" a="1"/>
  <c r="G111" i="17" s="1"/>
  <c r="H111" i="17"/>
  <c r="I111" i="17"/>
  <c r="G108" i="17" a="1"/>
  <c r="G108" i="17" s="1"/>
  <c r="H108" i="17"/>
  <c r="I108" i="17"/>
  <c r="G110" i="17" a="1"/>
  <c r="G110" i="17" s="1"/>
  <c r="H110" i="17"/>
  <c r="I110" i="17"/>
  <c r="G101" i="17" a="1"/>
  <c r="G101" i="17" s="1"/>
  <c r="H101" i="17"/>
  <c r="I101" i="17"/>
  <c r="G102" i="17" a="1"/>
  <c r="G102" i="17" s="1"/>
  <c r="H102" i="17"/>
  <c r="I102" i="17"/>
  <c r="G99" i="17" a="1"/>
  <c r="G99" i="17" s="1"/>
  <c r="H99" i="17"/>
  <c r="I99" i="17"/>
  <c r="G104" i="17" a="1"/>
  <c r="G104" i="17" s="1"/>
  <c r="H104" i="17"/>
  <c r="I104" i="17"/>
  <c r="G105" i="17" a="1"/>
  <c r="G105" i="17" s="1"/>
  <c r="H105" i="17"/>
  <c r="I105" i="17"/>
  <c r="G94" i="17" a="1"/>
  <c r="G94" i="17" s="1"/>
  <c r="H94" i="17"/>
  <c r="I94" i="17"/>
  <c r="G95" i="17" a="1"/>
  <c r="G95" i="17" s="1"/>
  <c r="H95" i="17"/>
  <c r="I95" i="17"/>
  <c r="G93" i="17" a="1"/>
  <c r="G93" i="17" s="1"/>
  <c r="H93" i="17"/>
  <c r="I93" i="17"/>
  <c r="G92" i="17" a="1"/>
  <c r="G92" i="17" s="1"/>
  <c r="H92" i="17"/>
  <c r="I92" i="17"/>
  <c r="G5" i="17" a="1"/>
  <c r="G5" i="17" s="1"/>
  <c r="H5" i="17"/>
  <c r="I5" i="17"/>
  <c r="G88" i="17" a="1"/>
  <c r="G88" i="17" s="1"/>
  <c r="H88" i="17"/>
  <c r="I88" i="17"/>
  <c r="G89" i="17" a="1"/>
  <c r="G89" i="17" s="1"/>
  <c r="H89" i="17"/>
  <c r="I89" i="17"/>
  <c r="G66" i="17" a="1"/>
  <c r="G66" i="17" s="1"/>
  <c r="H66" i="17"/>
  <c r="I66" i="17"/>
  <c r="G91" i="17" a="1"/>
  <c r="G91" i="17" s="1"/>
  <c r="H91" i="17"/>
  <c r="I91" i="17"/>
  <c r="G79" i="17" a="1"/>
  <c r="G79" i="17" s="1"/>
  <c r="H79" i="17"/>
  <c r="I79" i="17"/>
  <c r="G85" i="17" a="1"/>
  <c r="G85" i="17" s="1"/>
  <c r="H85" i="17"/>
  <c r="I85" i="17"/>
  <c r="H82" i="17"/>
  <c r="G82" i="17" a="1"/>
  <c r="G82" i="17" s="1"/>
  <c r="I82" i="17"/>
  <c r="H90" i="17"/>
  <c r="I90" i="17"/>
  <c r="G90" i="17" a="1"/>
  <c r="G90" i="17" s="1"/>
  <c r="G76" i="17" a="1"/>
  <c r="G76" i="17" s="1"/>
  <c r="H76" i="17"/>
  <c r="I76" i="17"/>
  <c r="G86" i="17" a="1"/>
  <c r="G86" i="17" s="1"/>
  <c r="H86" i="17"/>
  <c r="I86" i="17"/>
  <c r="G78" i="17" a="1"/>
  <c r="G78" i="17" s="1"/>
  <c r="H78" i="17"/>
  <c r="I78" i="17"/>
  <c r="G72" i="17" a="1"/>
  <c r="G72" i="17" s="1"/>
  <c r="H72" i="17"/>
  <c r="I72" i="17"/>
  <c r="G139" i="17" a="1"/>
  <c r="G139" i="17" s="1"/>
  <c r="H139" i="17"/>
  <c r="I139" i="17"/>
  <c r="G71" i="17" a="1"/>
  <c r="G71" i="17" s="1"/>
  <c r="H71" i="17"/>
  <c r="I71" i="17"/>
  <c r="I73" i="17"/>
  <c r="G73" i="17" a="1"/>
  <c r="G73" i="17" s="1"/>
  <c r="H73" i="17"/>
  <c r="G70" i="17" a="1"/>
  <c r="G70" i="17" s="1"/>
  <c r="H70" i="17"/>
  <c r="I70" i="17"/>
  <c r="G67" i="17" a="1"/>
  <c r="G67" i="17" s="1"/>
  <c r="H67" i="17"/>
  <c r="I67" i="17"/>
  <c r="G241" i="17" a="1"/>
  <c r="G241" i="17" s="1"/>
  <c r="H241" i="17"/>
  <c r="I241" i="17"/>
  <c r="I64" i="17"/>
  <c r="G64" i="17" a="1"/>
  <c r="G64" i="17" s="1"/>
  <c r="H64" i="17"/>
  <c r="G68" i="17" a="1"/>
  <c r="G68" i="17" s="1"/>
  <c r="H68" i="17"/>
  <c r="I68" i="17"/>
  <c r="G63" i="17" a="1"/>
  <c r="G63" i="17" s="1"/>
  <c r="H63" i="17"/>
  <c r="I63" i="17"/>
  <c r="I4" i="17"/>
  <c r="G4" i="17" a="1"/>
  <c r="G4" i="17" s="1"/>
  <c r="H4" i="17"/>
  <c r="G61" i="17" a="1"/>
  <c r="G61" i="17" s="1"/>
  <c r="H61" i="17"/>
  <c r="I61" i="17"/>
  <c r="G60" i="17" a="1"/>
  <c r="G60" i="17" s="1"/>
  <c r="H60" i="17"/>
  <c r="I60" i="17"/>
  <c r="G59" i="17" a="1"/>
  <c r="G59" i="17" s="1"/>
  <c r="H59" i="17"/>
  <c r="I59" i="17"/>
  <c r="G46" i="17" a="1"/>
  <c r="G46" i="17" s="1"/>
  <c r="H46" i="17"/>
  <c r="I46" i="17"/>
  <c r="G36" i="17" a="1"/>
  <c r="G36" i="17" s="1"/>
  <c r="H36" i="17"/>
  <c r="I36" i="17"/>
  <c r="G54" i="17" a="1"/>
  <c r="G54" i="17" s="1"/>
  <c r="H54" i="17"/>
  <c r="I54" i="17"/>
  <c r="G48" i="17" a="1"/>
  <c r="G48" i="17" s="1"/>
  <c r="H48" i="17"/>
  <c r="I48" i="17"/>
  <c r="G38" i="17" a="1"/>
  <c r="G38" i="17" s="1"/>
  <c r="H38" i="17"/>
  <c r="I38" i="17"/>
  <c r="G44" i="17" a="1"/>
  <c r="G44" i="17" s="1"/>
  <c r="H44" i="17"/>
  <c r="I44" i="17"/>
  <c r="G51" i="17" a="1"/>
  <c r="G51" i="17" s="1"/>
  <c r="H51" i="17"/>
  <c r="I51" i="17"/>
  <c r="G107" i="17" a="1"/>
  <c r="G107" i="17" s="1"/>
  <c r="H107" i="17"/>
  <c r="I107" i="17"/>
  <c r="G50" i="17" a="1"/>
  <c r="G50" i="17" s="1"/>
  <c r="H50" i="17"/>
  <c r="I50" i="17"/>
  <c r="G42" i="17" a="1"/>
  <c r="G42" i="17" s="1"/>
  <c r="H42" i="17"/>
  <c r="I42" i="17"/>
  <c r="G62" i="17" a="1"/>
  <c r="G62" i="17" s="1"/>
  <c r="H62" i="17"/>
  <c r="I62" i="17"/>
  <c r="G47" i="17" a="1"/>
  <c r="G47" i="17" s="1"/>
  <c r="H47" i="17"/>
  <c r="I47" i="17"/>
  <c r="G23" i="17" a="1"/>
  <c r="G23" i="17" s="1"/>
  <c r="H23" i="17"/>
  <c r="I23" i="17"/>
  <c r="G21" i="17" a="1"/>
  <c r="G21" i="17" s="1"/>
  <c r="H21" i="17"/>
  <c r="I21" i="17"/>
  <c r="G29" i="17" a="1"/>
  <c r="G29" i="17" s="1"/>
  <c r="H29" i="17"/>
  <c r="I29" i="17"/>
  <c r="G26" i="17" a="1"/>
  <c r="G26" i="17" s="1"/>
  <c r="H26" i="17"/>
  <c r="I26" i="17"/>
  <c r="G17" i="17" a="1"/>
  <c r="G17" i="17" s="1"/>
  <c r="H17" i="17"/>
  <c r="I17" i="17"/>
  <c r="I30" i="17"/>
  <c r="H30" i="17"/>
  <c r="I27" i="17"/>
  <c r="G27" i="17" a="1"/>
  <c r="G27" i="17" s="1"/>
  <c r="H27" i="17"/>
  <c r="G32" i="17" a="1"/>
  <c r="G32" i="17" s="1"/>
  <c r="H32" i="17"/>
  <c r="I32" i="17"/>
  <c r="G25" i="17" a="1"/>
  <c r="G25" i="17" s="1"/>
  <c r="H25" i="17"/>
  <c r="I25" i="17"/>
  <c r="G24" i="17" a="1"/>
  <c r="G24" i="17" s="1"/>
  <c r="H24" i="17"/>
  <c r="I24" i="17"/>
  <c r="G35" i="17" a="1"/>
  <c r="G35" i="17" s="1"/>
  <c r="I35" i="17"/>
  <c r="H35" i="17"/>
  <c r="G18" i="17" a="1"/>
  <c r="G18" i="17" s="1"/>
  <c r="H18" i="17"/>
  <c r="I18" i="17"/>
  <c r="G33" i="17" a="1"/>
  <c r="G33" i="17" s="1"/>
  <c r="H33" i="17"/>
  <c r="I33" i="17"/>
  <c r="G34" i="17" a="1"/>
  <c r="G34" i="17" s="1"/>
  <c r="H34" i="17"/>
  <c r="I34" i="17"/>
  <c r="G19" i="17" a="1"/>
  <c r="G19" i="17" s="1"/>
  <c r="H19" i="17"/>
  <c r="I19" i="17"/>
  <c r="G20" i="17" a="1"/>
  <c r="G20" i="17" s="1"/>
  <c r="H20" i="17"/>
  <c r="I20" i="17"/>
  <c r="G16" i="17" a="1"/>
  <c r="G16" i="17" s="1"/>
  <c r="H16" i="17"/>
  <c r="I16" i="17"/>
  <c r="G14" i="17" a="1"/>
  <c r="G14" i="17" s="1"/>
  <c r="H14" i="17"/>
  <c r="I14" i="17"/>
  <c r="G11" i="17" a="1"/>
  <c r="G11" i="17" s="1"/>
  <c r="H11" i="17"/>
  <c r="I11" i="17"/>
  <c r="G9" i="17" a="1"/>
  <c r="G9" i="17" s="1"/>
  <c r="H9" i="17"/>
  <c r="I9" i="17"/>
  <c r="G7" i="17" a="1"/>
  <c r="G7" i="17" s="1"/>
  <c r="H7" i="17"/>
  <c r="I7" i="17"/>
  <c r="I12" i="17"/>
  <c r="G12" i="17" a="1"/>
  <c r="G12" i="17" s="1"/>
  <c r="H12" i="17"/>
  <c r="G3" i="17" a="1"/>
  <c r="G3" i="17" s="1"/>
  <c r="I3" i="17"/>
  <c r="H3" i="17"/>
  <c r="G10" i="17" a="1"/>
  <c r="G10" i="17" s="1"/>
  <c r="H10" i="17"/>
  <c r="I10" i="17"/>
  <c r="G2" i="17" a="1"/>
  <c r="G2" i="17" s="1"/>
  <c r="H2" i="17"/>
  <c r="I2" i="17"/>
  <c r="G6" i="17" a="1"/>
  <c r="G6" i="17" s="1"/>
  <c r="H6" i="17"/>
  <c r="I6" i="17"/>
  <c r="I74" i="17"/>
  <c r="H74" i="1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4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4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  <bk>
      <rc t="1" v="237"/>
    </bk>
    <bk>
      <rc t="1" v="238"/>
    </bk>
    <bk>
      <rc t="1" v="239"/>
    </bk>
    <bk>
      <rc t="1" v="240"/>
    </bk>
    <bk>
      <rc t="1" v="241"/>
    </bk>
    <bk>
      <rc t="1" v="242"/>
    </bk>
  </valueMetadata>
</metadata>
</file>

<file path=xl/sharedStrings.xml><?xml version="1.0" encoding="utf-8"?>
<sst xmlns="http://schemas.openxmlformats.org/spreadsheetml/2006/main" count="1548" uniqueCount="1348">
  <si>
    <t>Country</t>
  </si>
  <si>
    <t>Flag</t>
  </si>
  <si>
    <t>Austria</t>
  </si>
  <si>
    <t>Belgium</t>
  </si>
  <si>
    <t>Cambodia</t>
  </si>
  <si>
    <t>Canada</t>
  </si>
  <si>
    <t>China</t>
  </si>
  <si>
    <t>Costa Rica</t>
  </si>
  <si>
    <t>Croatia</t>
  </si>
  <si>
    <t>Cyprus</t>
  </si>
  <si>
    <t>Czechia</t>
  </si>
  <si>
    <t>Denmark</t>
  </si>
  <si>
    <t>France</t>
  </si>
  <si>
    <t>Georgia</t>
  </si>
  <si>
    <t>Germany</t>
  </si>
  <si>
    <t>Greece</t>
  </si>
  <si>
    <t>Hungary</t>
  </si>
  <si>
    <t>Iceland</t>
  </si>
  <si>
    <t>Indonesia</t>
  </si>
  <si>
    <t>Ireland</t>
  </si>
  <si>
    <t>Italy</t>
  </si>
  <si>
    <t>Japan</t>
  </si>
  <si>
    <t>Laos</t>
  </si>
  <si>
    <t>Liechtenstein</t>
  </si>
  <si>
    <t>Luxembourg</t>
  </si>
  <si>
    <t>Macau</t>
  </si>
  <si>
    <t>Malaysia</t>
  </si>
  <si>
    <t>Malta</t>
  </si>
  <si>
    <t>Mexico</t>
  </si>
  <si>
    <t>Moldova</t>
  </si>
  <si>
    <t>Monaco</t>
  </si>
  <si>
    <t>Montenegro</t>
  </si>
  <si>
    <t>Netherlands</t>
  </si>
  <si>
    <t>New Zealand</t>
  </si>
  <si>
    <t>Northern Cyprus</t>
  </si>
  <si>
    <t>Norway</t>
  </si>
  <si>
    <t>Panama</t>
  </si>
  <si>
    <t>Philippines</t>
  </si>
  <si>
    <t>Poland</t>
  </si>
  <si>
    <t>Portugal</t>
  </si>
  <si>
    <t>Romania</t>
  </si>
  <si>
    <t>Russia</t>
  </si>
  <si>
    <t>San Marino</t>
  </si>
  <si>
    <t>Serbia</t>
  </si>
  <si>
    <t>Singapore</t>
  </si>
  <si>
    <t>Slovakia</t>
  </si>
  <si>
    <t>Slovenia</t>
  </si>
  <si>
    <t>South Korea</t>
  </si>
  <si>
    <t>Spain</t>
  </si>
  <si>
    <t>Sweden</t>
  </si>
  <si>
    <t>Switzerland</t>
  </si>
  <si>
    <t>Taiwan</t>
  </si>
  <si>
    <t>Thailand</t>
  </si>
  <si>
    <t>Turkey</t>
  </si>
  <si>
    <t>UAE</t>
  </si>
  <si>
    <t>United Kingdom</t>
  </si>
  <si>
    <t>United States</t>
  </si>
  <si>
    <t>Vietnam</t>
  </si>
  <si>
    <t>Month</t>
  </si>
  <si>
    <t>Prague</t>
  </si>
  <si>
    <t>Dublin</t>
  </si>
  <si>
    <t>Gibraltar</t>
  </si>
  <si>
    <t>Reykjavik</t>
  </si>
  <si>
    <t>Brussels</t>
  </si>
  <si>
    <t>Tokyo</t>
  </si>
  <si>
    <t>Dubai</t>
  </si>
  <si>
    <t>Vaduz</t>
  </si>
  <si>
    <t>Beijing</t>
  </si>
  <si>
    <t>Moscow</t>
  </si>
  <si>
    <t>Warsaw</t>
  </si>
  <si>
    <t>Athens</t>
  </si>
  <si>
    <t>London</t>
  </si>
  <si>
    <t>Shanghai</t>
  </si>
  <si>
    <t>Bratislava</t>
  </si>
  <si>
    <t>Budapest</t>
  </si>
  <si>
    <t>Vienna</t>
  </si>
  <si>
    <t>Zagreb</t>
  </si>
  <si>
    <t>Jakarta</t>
  </si>
  <si>
    <t>Georgetown</t>
  </si>
  <si>
    <t>City</t>
  </si>
  <si>
    <t>Full Name</t>
  </si>
  <si>
    <t>Population</t>
  </si>
  <si>
    <t>Visits</t>
  </si>
  <si>
    <t>First Visit</t>
  </si>
  <si>
    <t>Last Visit</t>
  </si>
  <si>
    <t>AT</t>
  </si>
  <si>
    <t>BE</t>
  </si>
  <si>
    <t>BA</t>
  </si>
  <si>
    <t>Bosnia and Herzegovina</t>
  </si>
  <si>
    <t>Sarajevo</t>
  </si>
  <si>
    <t>KH</t>
  </si>
  <si>
    <t>Phnom Penh</t>
  </si>
  <si>
    <t>CA</t>
  </si>
  <si>
    <t>CN</t>
  </si>
  <si>
    <t>Chengdu</t>
  </si>
  <si>
    <t>Chongqing</t>
  </si>
  <si>
    <t>Guangzhou</t>
  </si>
  <si>
    <t>HR</t>
  </si>
  <si>
    <t>CY</t>
  </si>
  <si>
    <t>Nicosia</t>
  </si>
  <si>
    <t>CZ</t>
  </si>
  <si>
    <t>DK</t>
  </si>
  <si>
    <t>Copenhagen</t>
  </si>
  <si>
    <t>FR</t>
  </si>
  <si>
    <t>Paris</t>
  </si>
  <si>
    <t>GE</t>
  </si>
  <si>
    <t>Tbilisi</t>
  </si>
  <si>
    <t>DE</t>
  </si>
  <si>
    <t>Frankfurt am Main</t>
  </si>
  <si>
    <t>HU</t>
  </si>
  <si>
    <t>IS</t>
  </si>
  <si>
    <t>ID</t>
  </si>
  <si>
    <t>IE</t>
  </si>
  <si>
    <t>IT</t>
  </si>
  <si>
    <t>JP</t>
  </si>
  <si>
    <t>MY</t>
  </si>
  <si>
    <t>Kuala Lumpur</t>
  </si>
  <si>
    <t>MX</t>
  </si>
  <si>
    <t>Mexico City</t>
  </si>
  <si>
    <t>MD</t>
  </si>
  <si>
    <t>ME</t>
  </si>
  <si>
    <t>NL</t>
  </si>
  <si>
    <t>Amsterdam</t>
  </si>
  <si>
    <t>NZ</t>
  </si>
  <si>
    <t>Auckland</t>
  </si>
  <si>
    <t>Wellington</t>
  </si>
  <si>
    <t>NO</t>
  </si>
  <si>
    <t>Oslo</t>
  </si>
  <si>
    <t>PL</t>
  </si>
  <si>
    <t>PT</t>
  </si>
  <si>
    <t>Lisbon</t>
  </si>
  <si>
    <t>RO</t>
  </si>
  <si>
    <t>Bucharest</t>
  </si>
  <si>
    <t>RU</t>
  </si>
  <si>
    <t>SM</t>
  </si>
  <si>
    <t>RS</t>
  </si>
  <si>
    <t>Belgrade</t>
  </si>
  <si>
    <t>SG</t>
  </si>
  <si>
    <t>SK</t>
  </si>
  <si>
    <t>SI</t>
  </si>
  <si>
    <t>Ljubljana</t>
  </si>
  <si>
    <t>KR</t>
  </si>
  <si>
    <t>Seoul</t>
  </si>
  <si>
    <t>ES</t>
  </si>
  <si>
    <t>Madrid</t>
  </si>
  <si>
    <t>SE</t>
  </si>
  <si>
    <t>CH</t>
  </si>
  <si>
    <t>Bern</t>
  </si>
  <si>
    <t>Zurich</t>
  </si>
  <si>
    <t>TW</t>
  </si>
  <si>
    <t>Taipei</t>
  </si>
  <si>
    <t>TH</t>
  </si>
  <si>
    <t>Bangkok</t>
  </si>
  <si>
    <t>TR</t>
  </si>
  <si>
    <t>Istanbul</t>
  </si>
  <si>
    <t>AE</t>
  </si>
  <si>
    <t>United Arab Emirates</t>
  </si>
  <si>
    <t>GB</t>
  </si>
  <si>
    <t>Glasgow</t>
  </si>
  <si>
    <t>US</t>
  </si>
  <si>
    <t>MC</t>
  </si>
  <si>
    <t>GR</t>
  </si>
  <si>
    <t>Lat</t>
  </si>
  <si>
    <t>Capital</t>
  </si>
  <si>
    <t>Berlin</t>
  </si>
  <si>
    <t>Wien</t>
  </si>
  <si>
    <t>VIE</t>
  </si>
  <si>
    <t>Manila</t>
  </si>
  <si>
    <t>STN</t>
  </si>
  <si>
    <t>Atlanta</t>
  </si>
  <si>
    <t>Chicago</t>
  </si>
  <si>
    <t>Hanoi</t>
  </si>
  <si>
    <t>Name</t>
  </si>
  <si>
    <t>Lon</t>
  </si>
  <si>
    <t>Panama City</t>
  </si>
  <si>
    <t>PA</t>
  </si>
  <si>
    <t>CR</t>
  </si>
  <si>
    <t>Wiki Page</t>
  </si>
  <si>
    <t>HK</t>
  </si>
  <si>
    <t>LA</t>
  </si>
  <si>
    <t>LI</t>
  </si>
  <si>
    <t>LU</t>
  </si>
  <si>
    <t>MO</t>
  </si>
  <si>
    <t>Macao</t>
  </si>
  <si>
    <t>MT</t>
  </si>
  <si>
    <t>NY</t>
  </si>
  <si>
    <t>PH</t>
  </si>
  <si>
    <t>VN</t>
  </si>
  <si>
    <t>GI</t>
  </si>
  <si>
    <t>https://en.wikipedia.org/wiki/Austria</t>
  </si>
  <si>
    <t>https://en.wikipedia.org/wiki/Belgium</t>
  </si>
  <si>
    <t>https://en.wikipedia.org/wiki/Cambodia</t>
  </si>
  <si>
    <t>https://en.wikipedia.org/wiki/Canada</t>
  </si>
  <si>
    <t>https://en.wikipedia.org/wiki/China</t>
  </si>
  <si>
    <t>https://en.wikipedia.org/wiki/Croatia</t>
  </si>
  <si>
    <t>https://en.wikipedia.org/wiki/Cyprus</t>
  </si>
  <si>
    <t>https://en.wikipedia.org/wiki/Denmark</t>
  </si>
  <si>
    <t>https://en.wikipedia.org/wiki/France</t>
  </si>
  <si>
    <t>https://en.wikipedia.org/wiki/Germany</t>
  </si>
  <si>
    <t>https://en.wikipedia.org/wiki/Gibraltar</t>
  </si>
  <si>
    <t>https://en.wikipedia.org/wiki/Greece</t>
  </si>
  <si>
    <t>https://en.wikipedia.org/wiki/Hungary</t>
  </si>
  <si>
    <t>https://en.wikipedia.org/wiki/Iceland</t>
  </si>
  <si>
    <t>https://en.wikipedia.org/wiki/Indonesia</t>
  </si>
  <si>
    <t>https://en.wikipedia.org/wiki/Ireland</t>
  </si>
  <si>
    <t>https://en.wikipedia.org/wiki/Italy</t>
  </si>
  <si>
    <t>https://en.wikipedia.org/wiki/Japan</t>
  </si>
  <si>
    <t>https://en.wikipedia.org/wiki/Laos</t>
  </si>
  <si>
    <t>https://en.wikipedia.org/wiki/Liechtenstein</t>
  </si>
  <si>
    <t>https://en.wikipedia.org/wiki/Luxembourg</t>
  </si>
  <si>
    <t>https://en.wikipedia.org/wiki/Malaysia</t>
  </si>
  <si>
    <t>https://en.wikipedia.org/wiki/Malta</t>
  </si>
  <si>
    <t>https://en.wikipedia.org/wiki/Mexico</t>
  </si>
  <si>
    <t>https://en.wikipedia.org/wiki/Moldova</t>
  </si>
  <si>
    <t>https://en.wikipedia.org/wiki/Monaco</t>
  </si>
  <si>
    <t>https://en.wikipedia.org/wiki/Montenegro</t>
  </si>
  <si>
    <t>https://en.wikipedia.org/wiki/Netherlands</t>
  </si>
  <si>
    <t>https://en.wikipedia.org/wiki/Norway</t>
  </si>
  <si>
    <t>https://en.wikipedia.org/wiki/Panama</t>
  </si>
  <si>
    <t>https://en.wikipedia.org/wiki/Philippines</t>
  </si>
  <si>
    <t>https://en.wikipedia.org/wiki/Poland</t>
  </si>
  <si>
    <t>https://en.wikipedia.org/wiki/Portugal</t>
  </si>
  <si>
    <t>https://en.wikipedia.org/wiki/Romania</t>
  </si>
  <si>
    <t>https://en.wikipedia.org/wiki/Russia</t>
  </si>
  <si>
    <t>https://en.wikipedia.org/wiki/Serbia</t>
  </si>
  <si>
    <t>https://en.wikipedia.org/wiki/Singapore</t>
  </si>
  <si>
    <t>https://en.wikipedia.org/wiki/Slovakia</t>
  </si>
  <si>
    <t>https://en.wikipedia.org/wiki/Slovenia</t>
  </si>
  <si>
    <t>https://en.wikipedia.org/wiki/Spain</t>
  </si>
  <si>
    <t>https://en.wikipedia.org/wiki/Sweden</t>
  </si>
  <si>
    <t>https://en.wikipedia.org/wiki/Switzerland</t>
  </si>
  <si>
    <t>https://en.wikipedia.org/wiki/Taiwan</t>
  </si>
  <si>
    <t>https://en.wikipedia.org/wiki/Thailand</t>
  </si>
  <si>
    <t>https://en.wikipedia.org/wiki/Turkey</t>
  </si>
  <si>
    <t>https://en.wikipedia.org/wiki/Vietnam</t>
  </si>
  <si>
    <t>https://en.wikipedia.org/wiki/United_States</t>
  </si>
  <si>
    <t>https://en.wikipedia.org/wiki/United_Kingdom</t>
  </si>
  <si>
    <t>https://en.wikipedia.org/wiki/United_Arab_Emirates</t>
  </si>
  <si>
    <t>https://en.wikipedia.org/wiki/South_Korea</t>
  </si>
  <si>
    <t>https://en.wikipedia.org/wiki/San_Marino</t>
  </si>
  <si>
    <t>https://en.wikipedia.org/wiki/Northern_Cyprus</t>
  </si>
  <si>
    <t>https://en.wikipedia.org/wiki/New_Zealand</t>
  </si>
  <si>
    <t>https://en.wikipedia.org/wiki/Macau</t>
  </si>
  <si>
    <t>https://en.wikipedia.org/wiki/Hong_Kong</t>
  </si>
  <si>
    <t>Hong Kong</t>
  </si>
  <si>
    <t>https://en.wikipedia.org/wiki/Costa_Rica</t>
  </si>
  <si>
    <t>Year</t>
  </si>
  <si>
    <t>Trip Name</t>
  </si>
  <si>
    <t>Alternative Name</t>
  </si>
  <si>
    <t>ISO2</t>
  </si>
  <si>
    <t>Area [km²]</t>
  </si>
  <si>
    <t>Ottawa</t>
  </si>
  <si>
    <t>San José</t>
  </si>
  <si>
    <t>Rome</t>
  </si>
  <si>
    <t>Vientiane</t>
  </si>
  <si>
    <t>Valletta</t>
  </si>
  <si>
    <t>Chișinău</t>
  </si>
  <si>
    <t>Podgorica</t>
  </si>
  <si>
    <t>Stockholm</t>
  </si>
  <si>
    <t>Ankara</t>
  </si>
  <si>
    <t>Abu Dhabi</t>
  </si>
  <si>
    <t>Washington</t>
  </si>
  <si>
    <t>Republic of Austria</t>
  </si>
  <si>
    <t>Kingdom of Belgium</t>
  </si>
  <si>
    <t>Kingdom of Cambodia</t>
  </si>
  <si>
    <t>People's Republic of China</t>
  </si>
  <si>
    <t>Republic of Costa Rica</t>
  </si>
  <si>
    <t>Republic of Croatia</t>
  </si>
  <si>
    <t>Republic of Cyprus</t>
  </si>
  <si>
    <t>Czech Republic</t>
  </si>
  <si>
    <t>Kingdom of Denmark</t>
  </si>
  <si>
    <t>French Republic</t>
  </si>
  <si>
    <t>Federal Republic of Germany</t>
  </si>
  <si>
    <t>Hellenic Republic</t>
  </si>
  <si>
    <t>Hong Kong Special Administrative Region of the People's Republic of China</t>
  </si>
  <si>
    <t>Republic of Indonesia</t>
  </si>
  <si>
    <t>Republic of Ireland</t>
  </si>
  <si>
    <t>Italian Republic</t>
  </si>
  <si>
    <t>Lao People's Democratic Republic</t>
  </si>
  <si>
    <t>Principality of Liechtenstein</t>
  </si>
  <si>
    <t>Grand Duchy of Luxembourg</t>
  </si>
  <si>
    <t>Macao Special Administrative Region of the People's Republic of China</t>
  </si>
  <si>
    <t>Republic of Malta</t>
  </si>
  <si>
    <t>United Mexican States</t>
  </si>
  <si>
    <t>Republic of Moldova</t>
  </si>
  <si>
    <t>Principality of Monaco</t>
  </si>
  <si>
    <t>Kingdom of the Netherlands</t>
  </si>
  <si>
    <t>Kingdom of Norway</t>
  </si>
  <si>
    <t>Republic of Panama</t>
  </si>
  <si>
    <t>Republic of the Philippines</t>
  </si>
  <si>
    <t>Republic of Poland</t>
  </si>
  <si>
    <t>Portuguese Republic</t>
  </si>
  <si>
    <t>Russian Federation</t>
  </si>
  <si>
    <t>Republic of San Marino</t>
  </si>
  <si>
    <t>Republic of Serbia</t>
  </si>
  <si>
    <t>Republic of Singapore</t>
  </si>
  <si>
    <t>Slovak Republic</t>
  </si>
  <si>
    <t>Republic of Slovenia</t>
  </si>
  <si>
    <t>Republic of Korea</t>
  </si>
  <si>
    <t>Kingdom of Spain</t>
  </si>
  <si>
    <t>Kingdom of Sweden</t>
  </si>
  <si>
    <t>Swiss Confederation</t>
  </si>
  <si>
    <t>Republic of China (Taiwan)</t>
  </si>
  <si>
    <t>Kingdom of Thailand</t>
  </si>
  <si>
    <t>Republic of Türkiye</t>
  </si>
  <si>
    <t>United Kingdom of Great Britain and Northern Ireland</t>
  </si>
  <si>
    <t>United States of America</t>
  </si>
  <si>
    <t>Socialist Republic of Vietnam</t>
  </si>
  <si>
    <t>Common Name</t>
  </si>
  <si>
    <t>Official Name</t>
  </si>
  <si>
    <t>Origin IATA</t>
  </si>
  <si>
    <t>Destination IATA</t>
  </si>
  <si>
    <t>Origin City</t>
  </si>
  <si>
    <t>Destination City</t>
  </si>
  <si>
    <t>Origin Country</t>
  </si>
  <si>
    <t>Destination Country</t>
  </si>
  <si>
    <t>IATA Code</t>
  </si>
  <si>
    <t>Vienna International Airport</t>
  </si>
  <si>
    <t>London Stansted Airport</t>
  </si>
  <si>
    <t>Dusseldorf</t>
  </si>
  <si>
    <t>Luqa</t>
  </si>
  <si>
    <t>https://en.wikipedia.org/wiki/Vienna_International_Airport</t>
  </si>
  <si>
    <t>https://en.wikipedia.org/wiki/London_Stansted_Airport</t>
  </si>
  <si>
    <t>Airline</t>
  </si>
  <si>
    <t>Air Europa</t>
  </si>
  <si>
    <t>Copa Airlines</t>
  </si>
  <si>
    <t>Lufthansa</t>
  </si>
  <si>
    <t>Viva Aerobus</t>
  </si>
  <si>
    <t>Turkish Republic of Northern Cyprus</t>
  </si>
  <si>
    <t>North Nicosia</t>
  </si>
  <si>
    <t>Date</t>
  </si>
  <si>
    <t>ICAO</t>
  </si>
  <si>
    <t>IATA</t>
  </si>
  <si>
    <t>LH</t>
  </si>
  <si>
    <t>DLH</t>
  </si>
  <si>
    <t>CCA</t>
  </si>
  <si>
    <t>Air China</t>
  </si>
  <si>
    <t>AEA</t>
  </si>
  <si>
    <t>UX</t>
  </si>
  <si>
    <t>Austrian Airlines</t>
  </si>
  <si>
    <t>AUA</t>
  </si>
  <si>
    <t>OS</t>
  </si>
  <si>
    <t>CM</t>
  </si>
  <si>
    <t>CMP</t>
  </si>
  <si>
    <t>VB</t>
  </si>
  <si>
    <t>VIV</t>
  </si>
  <si>
    <t>Monterrey</t>
  </si>
  <si>
    <t>Ryanair</t>
  </si>
  <si>
    <t>RYR</t>
  </si>
  <si>
    <t>Eurowings</t>
  </si>
  <si>
    <t>EW</t>
  </si>
  <si>
    <t>EWG</t>
  </si>
  <si>
    <t>LOT Polish Airlines</t>
  </si>
  <si>
    <t>LO</t>
  </si>
  <si>
    <t>LOT</t>
  </si>
  <si>
    <t>LM</t>
  </si>
  <si>
    <t>LOG</t>
  </si>
  <si>
    <t>Loganair</t>
  </si>
  <si>
    <t>Emirates</t>
  </si>
  <si>
    <t>EK</t>
  </si>
  <si>
    <t>Delta Air Lines</t>
  </si>
  <si>
    <t>DAL</t>
  </si>
  <si>
    <t>DL</t>
  </si>
  <si>
    <t>XXX</t>
  </si>
  <si>
    <t>Germanwings</t>
  </si>
  <si>
    <t>GWI</t>
  </si>
  <si>
    <t>United Airlines</t>
  </si>
  <si>
    <t>UAL</t>
  </si>
  <si>
    <t>UA</t>
  </si>
  <si>
    <t>Tigerair</t>
  </si>
  <si>
    <t>TGW</t>
  </si>
  <si>
    <t>Air Asia</t>
  </si>
  <si>
    <t>AXM</t>
  </si>
  <si>
    <t>AK</t>
  </si>
  <si>
    <t>KM</t>
  </si>
  <si>
    <t>AMC</t>
  </si>
  <si>
    <t>Air Malta</t>
  </si>
  <si>
    <t>Iberia</t>
  </si>
  <si>
    <t>IB</t>
  </si>
  <si>
    <t>IBE</t>
  </si>
  <si>
    <t>TAP Air Portugal</t>
  </si>
  <si>
    <t>TP</t>
  </si>
  <si>
    <t>TAP</t>
  </si>
  <si>
    <t>WOW Air</t>
  </si>
  <si>
    <t>Keflavik</t>
  </si>
  <si>
    <t>WW</t>
  </si>
  <si>
    <t>WOW</t>
  </si>
  <si>
    <t>SunExpress</t>
  </si>
  <si>
    <t>SXS</t>
  </si>
  <si>
    <t>XQ</t>
  </si>
  <si>
    <t>Antalya</t>
  </si>
  <si>
    <t>Main Hub</t>
  </si>
  <si>
    <t>Vanilla Air</t>
  </si>
  <si>
    <t>JW</t>
  </si>
  <si>
    <t>VNL</t>
  </si>
  <si>
    <t>Vietnam Airlines</t>
  </si>
  <si>
    <t>HVN</t>
  </si>
  <si>
    <t>KLM Royal Dutch Airlines</t>
  </si>
  <si>
    <t>KL</t>
  </si>
  <si>
    <t>KLM</t>
  </si>
  <si>
    <t>Swiss International Air Lines</t>
  </si>
  <si>
    <t>LX</t>
  </si>
  <si>
    <t>SWR</t>
  </si>
  <si>
    <t>Air New Zealand</t>
  </si>
  <si>
    <t>ANZ</t>
  </si>
  <si>
    <t>Bluebird Airways</t>
  </si>
  <si>
    <t>BZ</t>
  </si>
  <si>
    <t>BBG</t>
  </si>
  <si>
    <t>EasyJet</t>
  </si>
  <si>
    <t>U2</t>
  </si>
  <si>
    <t>EZY</t>
  </si>
  <si>
    <t>Departures</t>
  </si>
  <si>
    <t>Arrivals</t>
  </si>
  <si>
    <t>XX</t>
  </si>
  <si>
    <t>Unknown</t>
  </si>
  <si>
    <t>4U</t>
  </si>
  <si>
    <t>Cologne</t>
  </si>
  <si>
    <t>China Eastern</t>
  </si>
  <si>
    <t>MU</t>
  </si>
  <si>
    <t>CES</t>
  </si>
  <si>
    <t>China Southern</t>
  </si>
  <si>
    <t>CSN</t>
  </si>
  <si>
    <t>Logo URL</t>
  </si>
  <si>
    <t xml:space="preserve"> </t>
  </si>
  <si>
    <t>https://upload.wikimedia.org/wikipedia/en/thumb/d/d5/Ryanair.svg/3840px-Ryanair.svg.png</t>
  </si>
  <si>
    <t>https://upload.wikimedia.org/wikipedia/commons/thumb/b/b8/Lufthansa_Logo_2018.svg/1920px-Lufthansa_Logo_2018.svg.png</t>
  </si>
  <si>
    <t>https://upload.wikimedia.org/wikipedia/en/thumb/a/a4/Air_China_logo.svg/1920px-Air_China_logo.svg.png</t>
  </si>
  <si>
    <t>https://upload.wikimedia.org/wikipedia/commons/thumb/5/59/Air_Europa_Logo_%282015%29.svg/1920px-Air_Europa_Logo_%282015%29.svg.png</t>
  </si>
  <si>
    <t>https://upload.wikimedia.org/wikipedia/en/thumb/8/81/Austrian_Airlines_logo.svg/1920px-Austrian_Airlines_logo.svg.png</t>
  </si>
  <si>
    <t>https://upload.wikimedia.org/wikipedia/en/thumb/5/5a/Copa_airlines_logo.svg/1920px-Copa_airlines_logo.svg.png</t>
  </si>
  <si>
    <t>https://upload.wikimedia.org/wikipedia/commons/thumb/1/1f/Viva_Logo.svg/1920px-Viva_Logo.svg.png</t>
  </si>
  <si>
    <t>https://upload.wikimedia.org/wikipedia/commons/thumb/b/b4/Eurowings_Logo.svg/1920px-Eurowings_Logo.svg.png</t>
  </si>
  <si>
    <t>https://upload.wikimedia.org/wikipedia/en/thumb/4/49/Germanwings_logo.svg/1920px-Germanwings_logo.svg.png</t>
  </si>
  <si>
    <t>https://upload.wikimedia.org/wikipedia/en/thumb/3/3d/LOT_Polish_Airlines.svg/1920px-LOT_Polish_Airlines.svg.png</t>
  </si>
  <si>
    <t>https://upload.wikimedia.org/wikipedia/en/thumb/9/94/Loganair_logo.svg/1920px-Loganair_logo.svg.png</t>
  </si>
  <si>
    <t>https://upload.wikimedia.org/wikipedia/commons/thumb/1/1d/Emirates_Logo.svg/1920px-Emirates_Logo.svg.png</t>
  </si>
  <si>
    <t>https://upload.wikimedia.org/wikipedia/commons/thumb/d/d1/Delta_logo.svg/1920px-Delta_logo.svg.png</t>
  </si>
  <si>
    <t>https://upload.wikimedia.org/wikipedia/en/thumb/e/e0/United_Airlines_Logo.svg/1920px-United_Airlines_Logo.svg.png</t>
  </si>
  <si>
    <t>https://upload.wikimedia.org/wikipedia/commons/thumb/c/cf/Tigerair.svg/1920px-Tigerair.svg.png</t>
  </si>
  <si>
    <t>https://upload.wikimedia.org/wikipedia/commons/thumb/f/f5/AirAsia_New_Logo.svg/1280px-AirAsia_New_Logo.svg.png</t>
  </si>
  <si>
    <t>https://upload.wikimedia.org/wikipedia/commons/thumb/6/6b/Logo_airmalta.svg/1920px-Logo_airmalta.svg.png</t>
  </si>
  <si>
    <t>https://upload.wikimedia.org/wikipedia/commons/thumb/2/23/Logotipo_de_Iberia.svg/1920px-Logotipo_de_Iberia.svg.png</t>
  </si>
  <si>
    <t>https://upload.wikimedia.org/wikipedia/commons/thumb/f/fd/TAP-Portugal-Logo.svg/1920px-TAP-Portugal-Logo.svg.png</t>
  </si>
  <si>
    <t>https://upload.wikimedia.org/wikipedia/en/thumb/e/e7/WOW_air_logo.svg/960px-WOW_air_logo.svg.png</t>
  </si>
  <si>
    <t>https://upload.wikimedia.org/wikipedia/commons/thumb/d/d9/SunExpress_Logo.svg/1920px-SunExpress_Logo.svg.png</t>
  </si>
  <si>
    <t>https://upload.wikimedia.org/wikipedia/commons/thumb/0/00/Turkish_Airlines_logo_2019_compact.svg/1920px-Turkish_Airlines_logo_2019_compact.svg.png</t>
  </si>
  <si>
    <t>TK</t>
  </si>
  <si>
    <t>THY</t>
  </si>
  <si>
    <t>Turkish Airlines</t>
  </si>
  <si>
    <t>https://upload.wikimedia.org/wikipedia/commons/thumb/9/9d/Vanilla_Air_logo.svg/1920px-Vanilla_Air_logo.svg.png</t>
  </si>
  <si>
    <t>https://upload.wikimedia.org/wikipedia/en/thumb/b/b6/Vietnam_Airlines_logo_2015.svg/1920px-Vietnam_Airlines_logo_2015.svg.png</t>
  </si>
  <si>
    <t>https://upload.wikimedia.org/wikipedia/commons/thumb/c/c7/KLM_logo.svg/1280px-KLM_logo.svg.png</t>
  </si>
  <si>
    <t>https://upload.wikimedia.org/wikipedia/commons/thumb/f/f8/Swiss_International_Air_Lines_Logo_2011.svg/1920px-Swiss_International_Air_Lines_Logo_2011.svg.png</t>
  </si>
  <si>
    <t>https://upload.wikimedia.org/wikipedia/commons/thumb/9/97/Air_New_Zealand_logo.svg/1920px-Air_New_Zealand_logo.svg.png</t>
  </si>
  <si>
    <t>https://upload.wikimedia.org/wikipedia/en/thumb/6/6b/China_Eastern_Airlines_logo.svg/1920px-China_Eastern_Airlines_logo.svg.png</t>
  </si>
  <si>
    <t>https://upload.wikimedia.org/wikipedia/en/thumb/b/b4/China_Southern_Airlines_logo.svg/1920px-China_Southern_Airlines_logo.svg.png</t>
  </si>
  <si>
    <t>https://upload.wikimedia.org/wikipedia/en/a/a7/Bluebird_Airways_Logo.png</t>
  </si>
  <si>
    <t>https://upload.wikimedia.org/wikipedia/commons/thumb/1/1b/EasyJet_logo.svg/1920px-EasyJet_logo.svg.png</t>
  </si>
  <si>
    <t>Sichuan Airlines</t>
  </si>
  <si>
    <t>3U</t>
  </si>
  <si>
    <t>CSC</t>
  </si>
  <si>
    <t>https://upload.wikimedia.org/wikipedia/en/thumb/0/0d/Sichuan_Airlines_logo.svg/1920px-Sichuan_Airlines_logo.svg.png</t>
  </si>
  <si>
    <t>Chongqing Airlines</t>
  </si>
  <si>
    <t>OQ</t>
  </si>
  <si>
    <t>CQN</t>
  </si>
  <si>
    <t>https://upload.wikimedia.org/wikipedia/commons/0/0f/Chongqing_Airlines_logo.png</t>
  </si>
  <si>
    <t>New Countries</t>
  </si>
  <si>
    <t># Countries</t>
  </si>
  <si>
    <t>Countries</t>
  </si>
  <si>
    <t># New Countries</t>
  </si>
  <si>
    <t>Finland</t>
  </si>
  <si>
    <t>Helsinki</t>
  </si>
  <si>
    <t>FI</t>
  </si>
  <si>
    <t>Republic of Finland</t>
  </si>
  <si>
    <t>Victoria</t>
  </si>
  <si>
    <t>Rabat</t>
  </si>
  <si>
    <t>Home</t>
  </si>
  <si>
    <t>Comment</t>
  </si>
  <si>
    <t>AD</t>
  </si>
  <si>
    <t>AF</t>
  </si>
  <si>
    <t>AG</t>
  </si>
  <si>
    <t>AL</t>
  </si>
  <si>
    <t>AM</t>
  </si>
  <si>
    <t>AO</t>
  </si>
  <si>
    <t>AQ</t>
  </si>
  <si>
    <t>AR</t>
  </si>
  <si>
    <t>AU</t>
  </si>
  <si>
    <t>AZ</t>
  </si>
  <si>
    <t>BB</t>
  </si>
  <si>
    <t>BD</t>
  </si>
  <si>
    <t>BF</t>
  </si>
  <si>
    <t>BG</t>
  </si>
  <si>
    <t>BH</t>
  </si>
  <si>
    <t>BI</t>
  </si>
  <si>
    <t>BJ</t>
  </si>
  <si>
    <t>BM</t>
  </si>
  <si>
    <t>BN</t>
  </si>
  <si>
    <t>BO</t>
  </si>
  <si>
    <t>BR</t>
  </si>
  <si>
    <t>BS</t>
  </si>
  <si>
    <t>BT</t>
  </si>
  <si>
    <t>BW</t>
  </si>
  <si>
    <t>BY</t>
  </si>
  <si>
    <t>Andorra</t>
  </si>
  <si>
    <t>Principality of Andorra</t>
  </si>
  <si>
    <t>Andorra la Vella</t>
  </si>
  <si>
    <t>Afghanistan</t>
  </si>
  <si>
    <t>Islamic Republic of Afghanistan</t>
  </si>
  <si>
    <t>Kabul</t>
  </si>
  <si>
    <t>Antigua and Barbuda</t>
  </si>
  <si>
    <t>St John's</t>
  </si>
  <si>
    <t>Albania</t>
  </si>
  <si>
    <t>Republic of Albania</t>
  </si>
  <si>
    <t>Tirana</t>
  </si>
  <si>
    <t>Armenia</t>
  </si>
  <si>
    <t>Republic of Armenia</t>
  </si>
  <si>
    <t>Yerevan</t>
  </si>
  <si>
    <t>Angola</t>
  </si>
  <si>
    <t>Republic of Angola</t>
  </si>
  <si>
    <t>Luanda</t>
  </si>
  <si>
    <t>Antarctica</t>
  </si>
  <si>
    <t>Argentina</t>
  </si>
  <si>
    <t>Argentine Republic</t>
  </si>
  <si>
    <t>Buenos Aires</t>
  </si>
  <si>
    <t>Australia</t>
  </si>
  <si>
    <t>Commonwealth of Australia</t>
  </si>
  <si>
    <t>Canberra</t>
  </si>
  <si>
    <t>Azerbaijan</t>
  </si>
  <si>
    <t>Republic of Azerbaijan</t>
  </si>
  <si>
    <t>Baku</t>
  </si>
  <si>
    <t>Barbados</t>
  </si>
  <si>
    <t>Bridgetown</t>
  </si>
  <si>
    <t>Bangladesh</t>
  </si>
  <si>
    <t>People's Republic of Bangladesh</t>
  </si>
  <si>
    <t>Dhaka</t>
  </si>
  <si>
    <t>Burkina Faso</t>
  </si>
  <si>
    <t>Ouagadougou</t>
  </si>
  <si>
    <t>Bulgaria</t>
  </si>
  <si>
    <t>Republic of Bulgaria</t>
  </si>
  <si>
    <t>Sofia</t>
  </si>
  <si>
    <t>Bahrain</t>
  </si>
  <si>
    <t>Kingdom of Bahrain</t>
  </si>
  <si>
    <t>Manama</t>
  </si>
  <si>
    <t>Burundi</t>
  </si>
  <si>
    <t>Republic of Burundi</t>
  </si>
  <si>
    <t>Gitega</t>
  </si>
  <si>
    <t>Benin</t>
  </si>
  <si>
    <t>Republic of Benin</t>
  </si>
  <si>
    <t>Porto-Novo</t>
  </si>
  <si>
    <t>Bermuda</t>
  </si>
  <si>
    <t>Hamilton</t>
  </si>
  <si>
    <t>Brunei</t>
  </si>
  <si>
    <t>Nation of Brunei, the Abode of Peace</t>
  </si>
  <si>
    <t>Bandar Seri Begawan</t>
  </si>
  <si>
    <t>Bolivia</t>
  </si>
  <si>
    <t>Plurinational State of Bolivia</t>
  </si>
  <si>
    <t>Sucre</t>
  </si>
  <si>
    <t>Brazil</t>
  </si>
  <si>
    <t>Federative Republic of Brazil</t>
  </si>
  <si>
    <t>Brasília</t>
  </si>
  <si>
    <t>Bahamas</t>
  </si>
  <si>
    <t>Commonwealth of the Bahamas</t>
  </si>
  <si>
    <t>Nassau</t>
  </si>
  <si>
    <t>Bhutan</t>
  </si>
  <si>
    <t>Kingdom of Bhutan</t>
  </si>
  <si>
    <t>Thimphu</t>
  </si>
  <si>
    <t>Botswana</t>
  </si>
  <si>
    <t>Republic of Botswana</t>
  </si>
  <si>
    <t>Gaborone</t>
  </si>
  <si>
    <t>Belarus</t>
  </si>
  <si>
    <t>Republic of Belarus</t>
  </si>
  <si>
    <t>Minsk</t>
  </si>
  <si>
    <t>Belize</t>
  </si>
  <si>
    <t>Belmopan</t>
  </si>
  <si>
    <t>CC</t>
  </si>
  <si>
    <t>CD</t>
  </si>
  <si>
    <t>CF</t>
  </si>
  <si>
    <t>CG</t>
  </si>
  <si>
    <t>CI</t>
  </si>
  <si>
    <t>CK</t>
  </si>
  <si>
    <t>CL</t>
  </si>
  <si>
    <t>CO</t>
  </si>
  <si>
    <t>CU</t>
  </si>
  <si>
    <t>CV</t>
  </si>
  <si>
    <t>CX</t>
  </si>
  <si>
    <t>DJ</t>
  </si>
  <si>
    <t>DM</t>
  </si>
  <si>
    <t>DO</t>
  </si>
  <si>
    <t>DZ</t>
  </si>
  <si>
    <t>EC</t>
  </si>
  <si>
    <t>EE</t>
  </si>
  <si>
    <t>EG</t>
  </si>
  <si>
    <t>EH</t>
  </si>
  <si>
    <t>ER</t>
  </si>
  <si>
    <t>ET</t>
  </si>
  <si>
    <t>FJ</t>
  </si>
  <si>
    <t>FK</t>
  </si>
  <si>
    <t>FM</t>
  </si>
  <si>
    <t>FO</t>
  </si>
  <si>
    <t>GA</t>
  </si>
  <si>
    <t>GD</t>
  </si>
  <si>
    <t>GF</t>
  </si>
  <si>
    <t>GG</t>
  </si>
  <si>
    <t>GH</t>
  </si>
  <si>
    <t>GL</t>
  </si>
  <si>
    <t>GM</t>
  </si>
  <si>
    <t>GN</t>
  </si>
  <si>
    <t>GP</t>
  </si>
  <si>
    <t>GQ</t>
  </si>
  <si>
    <t>GT</t>
  </si>
  <si>
    <t>GU</t>
  </si>
  <si>
    <t>AS</t>
  </si>
  <si>
    <t>GW</t>
  </si>
  <si>
    <t>GY</t>
  </si>
  <si>
    <t>HN</t>
  </si>
  <si>
    <t>HT</t>
  </si>
  <si>
    <t>Cocos (Keeling) Islands</t>
  </si>
  <si>
    <t>Territory of the Cocos (Keeling) Islands</t>
  </si>
  <si>
    <t>DRC</t>
  </si>
  <si>
    <t>Democratic Republic of the Congo</t>
  </si>
  <si>
    <t>Central African Republic</t>
  </si>
  <si>
    <t>Congo</t>
  </si>
  <si>
    <t>Republic of the Congo</t>
  </si>
  <si>
    <t>Ivory Coast</t>
  </si>
  <si>
    <t>Republic of Côte d'Ivoire</t>
  </si>
  <si>
    <t>Cook Islands</t>
  </si>
  <si>
    <t>Chile</t>
  </si>
  <si>
    <t>Republic of Chile</t>
  </si>
  <si>
    <t>Cameroon</t>
  </si>
  <si>
    <t>Republic of Cameroon</t>
  </si>
  <si>
    <t>Colombia</t>
  </si>
  <si>
    <t>Republic of Colombia</t>
  </si>
  <si>
    <t>Cuba</t>
  </si>
  <si>
    <t>Republic of Cuba</t>
  </si>
  <si>
    <t>Cabo Verde</t>
  </si>
  <si>
    <t>Republic of Cabo Verde</t>
  </si>
  <si>
    <t>Christmas Island</t>
  </si>
  <si>
    <t>Territory of Christmas Island</t>
  </si>
  <si>
    <t>Djibouti</t>
  </si>
  <si>
    <t>Republic of Djibouti</t>
  </si>
  <si>
    <t>Dominica</t>
  </si>
  <si>
    <t>Commonwealth of Dominica</t>
  </si>
  <si>
    <t>Dominican Republic</t>
  </si>
  <si>
    <t>Algeria</t>
  </si>
  <si>
    <t>People's Democratic Republic of Algeria</t>
  </si>
  <si>
    <t>Ecuador</t>
  </si>
  <si>
    <t>Republic of Ecuador</t>
  </si>
  <si>
    <t>Estonia</t>
  </si>
  <si>
    <t>Republic of Estonia</t>
  </si>
  <si>
    <t>Egypt</t>
  </si>
  <si>
    <t>Arab Republic of Egypt</t>
  </si>
  <si>
    <t>Western Sahara</t>
  </si>
  <si>
    <t>Sahrawi Arab Democratic Republic</t>
  </si>
  <si>
    <t>Eritrea</t>
  </si>
  <si>
    <t>State of Eritrea</t>
  </si>
  <si>
    <t>Ethiopia</t>
  </si>
  <si>
    <t>Federal Democratic Republic of Ethiopia</t>
  </si>
  <si>
    <t>Fiji</t>
  </si>
  <si>
    <t>Republic of Fiji</t>
  </si>
  <si>
    <t>Falkland Islands</t>
  </si>
  <si>
    <t>Micronesia</t>
  </si>
  <si>
    <t>Federated States of Micronesia</t>
  </si>
  <si>
    <t>Faroe Islands</t>
  </si>
  <si>
    <t>Gabon</t>
  </si>
  <si>
    <t>Gabonese Republic</t>
  </si>
  <si>
    <t>Grenada</t>
  </si>
  <si>
    <t>French Guiana</t>
  </si>
  <si>
    <t>Guiana</t>
  </si>
  <si>
    <t>Guernsey</t>
  </si>
  <si>
    <t>Bailiwick of Guernsey</t>
  </si>
  <si>
    <t>Ghana</t>
  </si>
  <si>
    <t>Republic of Ghana</t>
  </si>
  <si>
    <t>Greenland</t>
  </si>
  <si>
    <t>Gambia</t>
  </si>
  <si>
    <t>Republic of the Gambia</t>
  </si>
  <si>
    <t>Guinea</t>
  </si>
  <si>
    <t>Republic of Guinea</t>
  </si>
  <si>
    <t>Guadeloupe</t>
  </si>
  <si>
    <t>Equatorial Guinea</t>
  </si>
  <si>
    <t>Republic of Equatorial Guinea</t>
  </si>
  <si>
    <t>Guatemala</t>
  </si>
  <si>
    <t>Republic of Guatemala</t>
  </si>
  <si>
    <t>Guam</t>
  </si>
  <si>
    <t>American Samoa</t>
  </si>
  <si>
    <t>Guinea-Bissau</t>
  </si>
  <si>
    <t>Republic of Guinea-Bissau</t>
  </si>
  <si>
    <t>Guyana</t>
  </si>
  <si>
    <t>Co-operative Republic of Guyana</t>
  </si>
  <si>
    <t>Honduras</t>
  </si>
  <si>
    <t>Republic of Honduras</t>
  </si>
  <si>
    <t>Haiti</t>
  </si>
  <si>
    <t>Republic of Haiti</t>
  </si>
  <si>
    <t>IL</t>
  </si>
  <si>
    <t>IM</t>
  </si>
  <si>
    <t>IN</t>
  </si>
  <si>
    <t>IQ</t>
  </si>
  <si>
    <t>IR</t>
  </si>
  <si>
    <t>JE</t>
  </si>
  <si>
    <t>JM</t>
  </si>
  <si>
    <t>JO</t>
  </si>
  <si>
    <t>KE</t>
  </si>
  <si>
    <t>KG</t>
  </si>
  <si>
    <t>KI</t>
  </si>
  <si>
    <t>KN</t>
  </si>
  <si>
    <t>KP</t>
  </si>
  <si>
    <t>KW</t>
  </si>
  <si>
    <t>KY</t>
  </si>
  <si>
    <t>KZ</t>
  </si>
  <si>
    <t>Israel</t>
  </si>
  <si>
    <t>State of Israel</t>
  </si>
  <si>
    <t>Isle of Man</t>
  </si>
  <si>
    <t>India</t>
  </si>
  <si>
    <t>Republic of India</t>
  </si>
  <si>
    <t>Iraq</t>
  </si>
  <si>
    <t>Republic of Iraq</t>
  </si>
  <si>
    <t>Iran</t>
  </si>
  <si>
    <t>Islamic Republic of Iran</t>
  </si>
  <si>
    <t>Jersey</t>
  </si>
  <si>
    <t>Bailiwick of Jersey</t>
  </si>
  <si>
    <t>Jamaica</t>
  </si>
  <si>
    <t>Jordan</t>
  </si>
  <si>
    <t>Hashemite Kingdom of Jordan</t>
  </si>
  <si>
    <t>Kenya</t>
  </si>
  <si>
    <t>Republic of Kenya</t>
  </si>
  <si>
    <t>Kyrgyzstan</t>
  </si>
  <si>
    <t>Kyrgyz Republic</t>
  </si>
  <si>
    <t>Kiribati</t>
  </si>
  <si>
    <t>Independent and Sovereign Republic of Kiribati</t>
  </si>
  <si>
    <t>Comoros</t>
  </si>
  <si>
    <t>Union of the Comoros</t>
  </si>
  <si>
    <t>Saint Kitts and Nevis</t>
  </si>
  <si>
    <t>Federation of Saint Christopher and Nevis</t>
  </si>
  <si>
    <t>North Korea</t>
  </si>
  <si>
    <t>Democratic People's Republic of Korea</t>
  </si>
  <si>
    <t>Kuwait</t>
  </si>
  <si>
    <t>State of Kuwait</t>
  </si>
  <si>
    <t>Cayman Islands</t>
  </si>
  <si>
    <t>Kazakhstan</t>
  </si>
  <si>
    <t>Republic of Kazakhstan</t>
  </si>
  <si>
    <t>LB</t>
  </si>
  <si>
    <t>LC</t>
  </si>
  <si>
    <t>LK</t>
  </si>
  <si>
    <t>LR</t>
  </si>
  <si>
    <t>LS</t>
  </si>
  <si>
    <t>LT</t>
  </si>
  <si>
    <t>LV</t>
  </si>
  <si>
    <t>LY</t>
  </si>
  <si>
    <t>MA</t>
  </si>
  <si>
    <t>MF</t>
  </si>
  <si>
    <t>MG</t>
  </si>
  <si>
    <t>MH</t>
  </si>
  <si>
    <t>MK</t>
  </si>
  <si>
    <t>ML</t>
  </si>
  <si>
    <t>MM</t>
  </si>
  <si>
    <t>MN</t>
  </si>
  <si>
    <t>MR</t>
  </si>
  <si>
    <t>MV</t>
  </si>
  <si>
    <t>MW</t>
  </si>
  <si>
    <t>MZ</t>
  </si>
  <si>
    <t>Lebanon</t>
  </si>
  <si>
    <t>Lebanese Republic</t>
  </si>
  <si>
    <t>Saint Lucia</t>
  </si>
  <si>
    <t>Sri Lanka</t>
  </si>
  <si>
    <t>Democratic Socialist Republic of Sri Lanka</t>
  </si>
  <si>
    <t>Liberia</t>
  </si>
  <si>
    <t>Republic of Liberia</t>
  </si>
  <si>
    <t>Lesotho</t>
  </si>
  <si>
    <t>Kingdom of Lesotho</t>
  </si>
  <si>
    <t>Lithuania</t>
  </si>
  <si>
    <t>Republic of Lithuania</t>
  </si>
  <si>
    <t>Latvia</t>
  </si>
  <si>
    <t>Republic of Latvia</t>
  </si>
  <si>
    <t>Libya</t>
  </si>
  <si>
    <t>State of Libya</t>
  </si>
  <si>
    <t>Morocco</t>
  </si>
  <si>
    <t>Kingdom of Morocco</t>
  </si>
  <si>
    <t>Saint Martin</t>
  </si>
  <si>
    <t>Madagascar</t>
  </si>
  <si>
    <t>Republic of Madagascar</t>
  </si>
  <si>
    <t>Marshall Islands</t>
  </si>
  <si>
    <t>Republic of the Marshall Islands</t>
  </si>
  <si>
    <t>North Macedonia</t>
  </si>
  <si>
    <t>Republic of North Macedonia</t>
  </si>
  <si>
    <t>Mali</t>
  </si>
  <si>
    <t>Republic of Mali</t>
  </si>
  <si>
    <t>Myanmar</t>
  </si>
  <si>
    <t>Republic of the Union of Myanmar</t>
  </si>
  <si>
    <t>Mongolia</t>
  </si>
  <si>
    <t>Mauritania</t>
  </si>
  <si>
    <t>Islamic Republic of Mauritania</t>
  </si>
  <si>
    <t>Mauritius</t>
  </si>
  <si>
    <t>Republic of Mauritius</t>
  </si>
  <si>
    <t>Maldives</t>
  </si>
  <si>
    <t>Republic of Maldives</t>
  </si>
  <si>
    <t>Malawi</t>
  </si>
  <si>
    <t>Republic of Malawi</t>
  </si>
  <si>
    <t>Mozambique</t>
  </si>
  <si>
    <t>Republic of Mozambique</t>
  </si>
  <si>
    <t>NA</t>
  </si>
  <si>
    <t>NC</t>
  </si>
  <si>
    <t>NE</t>
  </si>
  <si>
    <t>NF</t>
  </si>
  <si>
    <t>NG</t>
  </si>
  <si>
    <t>NI</t>
  </si>
  <si>
    <t>NP</t>
  </si>
  <si>
    <t>NR</t>
  </si>
  <si>
    <t>Namibia</t>
  </si>
  <si>
    <t>Republic of Namibia</t>
  </si>
  <si>
    <t>New Caledonia</t>
  </si>
  <si>
    <t>Niger</t>
  </si>
  <si>
    <t>Republic of Niger</t>
  </si>
  <si>
    <t>Norfolk Island</t>
  </si>
  <si>
    <t>Territory of Norfolk Island</t>
  </si>
  <si>
    <t>Nigeria</t>
  </si>
  <si>
    <t>Federal Republic of Nigeria</t>
  </si>
  <si>
    <t>Nicaragua</t>
  </si>
  <si>
    <t>Republic of Nicaragua</t>
  </si>
  <si>
    <t>Nepal</t>
  </si>
  <si>
    <t>Federal Democratic Republic of Nepal</t>
  </si>
  <si>
    <t>Nauru</t>
  </si>
  <si>
    <t>Republic of Nauru</t>
  </si>
  <si>
    <t>NU</t>
  </si>
  <si>
    <t>OM</t>
  </si>
  <si>
    <t>PE</t>
  </si>
  <si>
    <t>PF</t>
  </si>
  <si>
    <t>PG</t>
  </si>
  <si>
    <t>PK</t>
  </si>
  <si>
    <t>PN</t>
  </si>
  <si>
    <t>PR</t>
  </si>
  <si>
    <t>PS</t>
  </si>
  <si>
    <t>PW</t>
  </si>
  <si>
    <t>PY</t>
  </si>
  <si>
    <t>QA</t>
  </si>
  <si>
    <t>PM</t>
  </si>
  <si>
    <t>RE</t>
  </si>
  <si>
    <t>RW</t>
  </si>
  <si>
    <t>Niue</t>
  </si>
  <si>
    <t>Oman</t>
  </si>
  <si>
    <t>Sultanate of Oman</t>
  </si>
  <si>
    <t>Peru</t>
  </si>
  <si>
    <t>Republic of Peru</t>
  </si>
  <si>
    <t>French Polynesia</t>
  </si>
  <si>
    <t>Papua New Guinea</t>
  </si>
  <si>
    <t>Independent State of Papua New Guinea</t>
  </si>
  <si>
    <t>Pakistan</t>
  </si>
  <si>
    <t>Islamic Republic of Pakistan</t>
  </si>
  <si>
    <t>Pitcairn Islands</t>
  </si>
  <si>
    <t>Pitcairn Group of Islands</t>
  </si>
  <si>
    <t>Puerto Rico</t>
  </si>
  <si>
    <t>Commonwealth of Puerto Rico</t>
  </si>
  <si>
    <t>Palestine</t>
  </si>
  <si>
    <t>State of Palestine</t>
  </si>
  <si>
    <t>Palau</t>
  </si>
  <si>
    <t>Republic of Palau</t>
  </si>
  <si>
    <t>Paraguay</t>
  </si>
  <si>
    <t>Republic of Paraguay</t>
  </si>
  <si>
    <t>Qatar</t>
  </si>
  <si>
    <t>State of Qatar</t>
  </si>
  <si>
    <t>Saint Pierre and Miquelon</t>
  </si>
  <si>
    <t>Réunion</t>
  </si>
  <si>
    <t>Réunion Island</t>
  </si>
  <si>
    <t>Rwanda</t>
  </si>
  <si>
    <t>Republic of Rwanda</t>
  </si>
  <si>
    <t>SA</t>
  </si>
  <si>
    <t>SB</t>
  </si>
  <si>
    <t>SC</t>
  </si>
  <si>
    <t>SD</t>
  </si>
  <si>
    <t>SH</t>
  </si>
  <si>
    <t>SJ</t>
  </si>
  <si>
    <t>SL</t>
  </si>
  <si>
    <t>SN</t>
  </si>
  <si>
    <t>SO</t>
  </si>
  <si>
    <t>SR</t>
  </si>
  <si>
    <t>SS</t>
  </si>
  <si>
    <t>ST</t>
  </si>
  <si>
    <t>SV</t>
  </si>
  <si>
    <t>SX</t>
  </si>
  <si>
    <t>SY</t>
  </si>
  <si>
    <t>SZ</t>
  </si>
  <si>
    <t>Saudi Arabia</t>
  </si>
  <si>
    <t>Kingdom of Saudi Arabia</t>
  </si>
  <si>
    <t>Solomon Islands</t>
  </si>
  <si>
    <t>Seychelles</t>
  </si>
  <si>
    <t>Republic of Seychelles</t>
  </si>
  <si>
    <t>Sudan</t>
  </si>
  <si>
    <t>Republic of the Sudan</t>
  </si>
  <si>
    <t>Saint Helena, Ascension and Tristan da Cunha</t>
  </si>
  <si>
    <t>Svalbard and Jan Mayen</t>
  </si>
  <si>
    <t>Svalbard og Jan Mayen</t>
  </si>
  <si>
    <t>Sierra Leone</t>
  </si>
  <si>
    <t>Republic of Sierra Leone</t>
  </si>
  <si>
    <t>Senegal</t>
  </si>
  <si>
    <t>Republic of Senegal</t>
  </si>
  <si>
    <t>Somalia</t>
  </si>
  <si>
    <t>Federal Republic of Somalia</t>
  </si>
  <si>
    <t>Suriname</t>
  </si>
  <si>
    <t>Republic of Suriname</t>
  </si>
  <si>
    <t>South Sudan</t>
  </si>
  <si>
    <t>Republic of South Sudan</t>
  </si>
  <si>
    <t>São Tomé and Príncipe</t>
  </si>
  <si>
    <t>Democratic Republic of São Tomé and Príncipe</t>
  </si>
  <si>
    <t>El Salvador</t>
  </si>
  <si>
    <t>Republic of El Salvador</t>
  </si>
  <si>
    <t>Sint Maarten</t>
  </si>
  <si>
    <t>Syria</t>
  </si>
  <si>
    <t>Syrian Arab Republic</t>
  </si>
  <si>
    <t>Eswatini</t>
  </si>
  <si>
    <t>Kingdom of Eswatini</t>
  </si>
  <si>
    <t>TC</t>
  </si>
  <si>
    <t>TD</t>
  </si>
  <si>
    <t>TG</t>
  </si>
  <si>
    <t>TJ</t>
  </si>
  <si>
    <t>TL</t>
  </si>
  <si>
    <t>TM</t>
  </si>
  <si>
    <t>TN</t>
  </si>
  <si>
    <t>TO</t>
  </si>
  <si>
    <t>TT</t>
  </si>
  <si>
    <t>TV</t>
  </si>
  <si>
    <t>TZ</t>
  </si>
  <si>
    <t>Turks and Caicos Islands</t>
  </si>
  <si>
    <t>Chad</t>
  </si>
  <si>
    <t>Republic of Chad</t>
  </si>
  <si>
    <t>Togo</t>
  </si>
  <si>
    <t>Togolese Republic</t>
  </si>
  <si>
    <t>Tajikistan</t>
  </si>
  <si>
    <t>Republic of Tajikistan</t>
  </si>
  <si>
    <t>Tokelau</t>
  </si>
  <si>
    <t>Timor-Leste</t>
  </si>
  <si>
    <t>Democratic Republic of Timor-Leste</t>
  </si>
  <si>
    <t>Turkmenistan</t>
  </si>
  <si>
    <t>Tunisia</t>
  </si>
  <si>
    <t>Republic of Tunisia</t>
  </si>
  <si>
    <t>Tonga</t>
  </si>
  <si>
    <t>Kingdom of Tonga</t>
  </si>
  <si>
    <t>Trinidad and Tobago</t>
  </si>
  <si>
    <t>Republic of Trinidad and Tobago</t>
  </si>
  <si>
    <t>Tuvalu</t>
  </si>
  <si>
    <t>Tanzania</t>
  </si>
  <si>
    <t>United Republic of Tanzania</t>
  </si>
  <si>
    <t>UG</t>
  </si>
  <si>
    <t>UY</t>
  </si>
  <si>
    <t>UZ</t>
  </si>
  <si>
    <t>VA</t>
  </si>
  <si>
    <t>VC</t>
  </si>
  <si>
    <t>VE</t>
  </si>
  <si>
    <t>VG</t>
  </si>
  <si>
    <t>VI</t>
  </si>
  <si>
    <t>VU</t>
  </si>
  <si>
    <t>WF</t>
  </si>
  <si>
    <t>WS</t>
  </si>
  <si>
    <t>Ukraine</t>
  </si>
  <si>
    <t>Uganda</t>
  </si>
  <si>
    <t>Republic of Uganda</t>
  </si>
  <si>
    <t>Uruguay</t>
  </si>
  <si>
    <t>Oriental Republic of Uruguay</t>
  </si>
  <si>
    <t>Uzbekistan</t>
  </si>
  <si>
    <t>Republic of Uzbekistan</t>
  </si>
  <si>
    <t>Vatican City</t>
  </si>
  <si>
    <t>Vatican City State</t>
  </si>
  <si>
    <t>Saint Vincent and the Grenadines</t>
  </si>
  <si>
    <t>Venezuela</t>
  </si>
  <si>
    <t>Bolivarian Republic of Venezuela</t>
  </si>
  <si>
    <t>British Virgin Islands</t>
  </si>
  <si>
    <t>Virgin Islands</t>
  </si>
  <si>
    <t>United States Virgin Islands</t>
  </si>
  <si>
    <t>Virgin Islands of the United States</t>
  </si>
  <si>
    <t>Vanuatu</t>
  </si>
  <si>
    <t>Republic of Vanuatu</t>
  </si>
  <si>
    <t>Wallis and Futuna</t>
  </si>
  <si>
    <t>Territory of the Wallis and Futuna Islands</t>
  </si>
  <si>
    <t>Samoa</t>
  </si>
  <si>
    <t>Independent State of Samoa</t>
  </si>
  <si>
    <t>YE</t>
  </si>
  <si>
    <t>YT</t>
  </si>
  <si>
    <t>ZA</t>
  </si>
  <si>
    <t>ZM</t>
  </si>
  <si>
    <t>ZW</t>
  </si>
  <si>
    <t>Yemen</t>
  </si>
  <si>
    <t>Republic of Yemen</t>
  </si>
  <si>
    <t>Mayotte</t>
  </si>
  <si>
    <t>Department of Mayotte</t>
  </si>
  <si>
    <t>South Africa</t>
  </si>
  <si>
    <t>Republic of South Africa</t>
  </si>
  <si>
    <t>Zambia</t>
  </si>
  <si>
    <t>Republic of Zambia</t>
  </si>
  <si>
    <t>Zimbabwe</t>
  </si>
  <si>
    <t>Republic of Zimbabwe</t>
  </si>
  <si>
    <t>MS</t>
  </si>
  <si>
    <t>MP</t>
  </si>
  <si>
    <t>MQ</t>
  </si>
  <si>
    <t>CW</t>
  </si>
  <si>
    <t>BQ</t>
  </si>
  <si>
    <t>BL</t>
  </si>
  <si>
    <t>AW</t>
  </si>
  <si>
    <t>AI</t>
  </si>
  <si>
    <t>Montserrat</t>
  </si>
  <si>
    <t>Northern Mariana Islands</t>
  </si>
  <si>
    <t>Commonwealth of the Northern Mariana Islands</t>
  </si>
  <si>
    <t>Martinique</t>
  </si>
  <si>
    <t>Curaçao</t>
  </si>
  <si>
    <t>Country of Curaçao</t>
  </si>
  <si>
    <t>Caribbean Netherlands</t>
  </si>
  <si>
    <t>Bonaire, Sint Eustatius and Saba</t>
  </si>
  <si>
    <t>Saint Barthélemy</t>
  </si>
  <si>
    <t>Collectivity of Saint Barthélemy</t>
  </si>
  <si>
    <t>Aruba</t>
  </si>
  <si>
    <t>Anguilla</t>
  </si>
  <si>
    <t>Vatican</t>
  </si>
  <si>
    <t>The Valley</t>
  </si>
  <si>
    <t>Pago Pago</t>
  </si>
  <si>
    <t>Oranjestad</t>
  </si>
  <si>
    <t>Gustavia</t>
  </si>
  <si>
    <t>Kralendijk</t>
  </si>
  <si>
    <t>West Island</t>
  </si>
  <si>
    <t>Kinshasa</t>
  </si>
  <si>
    <t>Bangui</t>
  </si>
  <si>
    <t>Brazzaville</t>
  </si>
  <si>
    <t>Yamoussoukro</t>
  </si>
  <si>
    <t>Avarua</t>
  </si>
  <si>
    <t>Santiago</t>
  </si>
  <si>
    <t>Yaoundé</t>
  </si>
  <si>
    <t>Bogotá</t>
  </si>
  <si>
    <t>Havana</t>
  </si>
  <si>
    <t>Praia</t>
  </si>
  <si>
    <t>Willemstad</t>
  </si>
  <si>
    <t>Flying Fish Cove</t>
  </si>
  <si>
    <t>Roseau</t>
  </si>
  <si>
    <t>Santo Domingo</t>
  </si>
  <si>
    <t>Algiers</t>
  </si>
  <si>
    <t>Quito</t>
  </si>
  <si>
    <t>Tallinn</t>
  </si>
  <si>
    <t>Cairo</t>
  </si>
  <si>
    <t>Asmara</t>
  </si>
  <si>
    <t>Addis Ababa</t>
  </si>
  <si>
    <t>Suva</t>
  </si>
  <si>
    <t>Stanley</t>
  </si>
  <si>
    <t>Palikir</t>
  </si>
  <si>
    <t>Tórshavn</t>
  </si>
  <si>
    <t>Libreville</t>
  </si>
  <si>
    <t>St. George's</t>
  </si>
  <si>
    <t>Cayenne</t>
  </si>
  <si>
    <t>St Peter Port</t>
  </si>
  <si>
    <t>Accra</t>
  </si>
  <si>
    <t>Nuuk</t>
  </si>
  <si>
    <t>Banjul</t>
  </si>
  <si>
    <t>Conakry</t>
  </si>
  <si>
    <t>Basse-Terre</t>
  </si>
  <si>
    <t>Malabo</t>
  </si>
  <si>
    <t>Guatemala City</t>
  </si>
  <si>
    <t>Hagåtña</t>
  </si>
  <si>
    <t>Bissau</t>
  </si>
  <si>
    <t>Tegucigalpa</t>
  </si>
  <si>
    <t>Port-au-Prince</t>
  </si>
  <si>
    <t>Douglas</t>
  </si>
  <si>
    <t>New Delhi</t>
  </si>
  <si>
    <t>Baghdad</t>
  </si>
  <si>
    <t>Tehran</t>
  </si>
  <si>
    <t>Saint Helier</t>
  </si>
  <si>
    <t>Kingston</t>
  </si>
  <si>
    <t>Amman</t>
  </si>
  <si>
    <t>Nairobi</t>
  </si>
  <si>
    <t>Bishkek</t>
  </si>
  <si>
    <t>Tarawa</t>
  </si>
  <si>
    <t>Moroni</t>
  </si>
  <si>
    <t>Basseterre</t>
  </si>
  <si>
    <t>Pyongyang</t>
  </si>
  <si>
    <t>Kuwait City</t>
  </si>
  <si>
    <t>George Town</t>
  </si>
  <si>
    <t>Nur-Sultan</t>
  </si>
  <si>
    <t>Beirut</t>
  </si>
  <si>
    <t>Castries</t>
  </si>
  <si>
    <t>Colombo</t>
  </si>
  <si>
    <t>Monrovia</t>
  </si>
  <si>
    <t>Maseru</t>
  </si>
  <si>
    <t>Vilnius</t>
  </si>
  <si>
    <t>Riga</t>
  </si>
  <si>
    <t>Tripoli</t>
  </si>
  <si>
    <t>Marigot</t>
  </si>
  <si>
    <t>Antananarivo</t>
  </si>
  <si>
    <t>Majuro</t>
  </si>
  <si>
    <t>Skopje</t>
  </si>
  <si>
    <t>Bamako</t>
  </si>
  <si>
    <t>Nay Pyi Taw</t>
  </si>
  <si>
    <t>Ulaanbaatar</t>
  </si>
  <si>
    <t>Saipan</t>
  </si>
  <si>
    <t>Fort-de-France</t>
  </si>
  <si>
    <t>Nouakchott</t>
  </si>
  <si>
    <t>Plymouth</t>
  </si>
  <si>
    <t>Port Louis</t>
  </si>
  <si>
    <t>Malé</t>
  </si>
  <si>
    <t>Lilongwe</t>
  </si>
  <si>
    <t>Maputo</t>
  </si>
  <si>
    <t>Windhoek</t>
  </si>
  <si>
    <t>Noumea</t>
  </si>
  <si>
    <t>Niamey</t>
  </si>
  <si>
    <t>Abuja</t>
  </si>
  <si>
    <t>Managua</t>
  </si>
  <si>
    <t>Kathmandu</t>
  </si>
  <si>
    <t>Yaren District</t>
  </si>
  <si>
    <t>Alofi</t>
  </si>
  <si>
    <t>Muscat</t>
  </si>
  <si>
    <t>Lima</t>
  </si>
  <si>
    <t>Papeete</t>
  </si>
  <si>
    <t>Port Moresby</t>
  </si>
  <si>
    <t>Islamabad</t>
  </si>
  <si>
    <t>Saint-Pierre</t>
  </si>
  <si>
    <t>Adamstown</t>
  </si>
  <si>
    <t>San Juan</t>
  </si>
  <si>
    <t>Ngerulmud</t>
  </si>
  <si>
    <t>Asunción</t>
  </si>
  <si>
    <t>Doha</t>
  </si>
  <si>
    <t>Saint-Denis</t>
  </si>
  <si>
    <t>Kigali</t>
  </si>
  <si>
    <t>Riyadh</t>
  </si>
  <si>
    <t>Honiara</t>
  </si>
  <si>
    <t>Khartoum</t>
  </si>
  <si>
    <t>Jamestown</t>
  </si>
  <si>
    <t>Longyearbyen</t>
  </si>
  <si>
    <t>Freetown</t>
  </si>
  <si>
    <t>Dakar</t>
  </si>
  <si>
    <t>Mogadishu</t>
  </si>
  <si>
    <t>Paramaribo</t>
  </si>
  <si>
    <t>Juba</t>
  </si>
  <si>
    <t>São Tomé</t>
  </si>
  <si>
    <t>San Salvador</t>
  </si>
  <si>
    <t>Philipsburg</t>
  </si>
  <si>
    <t>Damascus</t>
  </si>
  <si>
    <t>Mbabane</t>
  </si>
  <si>
    <t>Cockburn Town</t>
  </si>
  <si>
    <t>N'Djamena</t>
  </si>
  <si>
    <t>Lomé</t>
  </si>
  <si>
    <t>Dushanbe</t>
  </si>
  <si>
    <t>Dili</t>
  </si>
  <si>
    <t>Ashgabat</t>
  </si>
  <si>
    <t>Tunis</t>
  </si>
  <si>
    <t>Nuku'alofa</t>
  </si>
  <si>
    <t>Port of Spain</t>
  </si>
  <si>
    <t>Funafuti</t>
  </si>
  <si>
    <t>Dodoma</t>
  </si>
  <si>
    <t>Kyiv</t>
  </si>
  <si>
    <t>Kampala</t>
  </si>
  <si>
    <t>Montevideo</t>
  </si>
  <si>
    <t>Tashkent</t>
  </si>
  <si>
    <t>Kingstown</t>
  </si>
  <si>
    <t>Caracas</t>
  </si>
  <si>
    <t>Road Town</t>
  </si>
  <si>
    <t>Charlotte Amalie</t>
  </si>
  <si>
    <t>Port Vila</t>
  </si>
  <si>
    <t>Mata-Utu</t>
  </si>
  <si>
    <t>Apia</t>
  </si>
  <si>
    <t>Sanaa</t>
  </si>
  <si>
    <t>Mamoudzou</t>
  </si>
  <si>
    <t>Pretoria</t>
  </si>
  <si>
    <t>Lusaka</t>
  </si>
  <si>
    <t>Harare</t>
  </si>
  <si>
    <t>Ramallah</t>
  </si>
  <si>
    <t>Tel Aviv</t>
  </si>
  <si>
    <t>Map language:</t>
  </si>
  <si>
    <t>https://en.wikipedia.org/wiki/Afghanistan</t>
  </si>
  <si>
    <t>https://en.wikipedia.org/wiki/Albania</t>
  </si>
  <si>
    <t>https://en.wikipedia.org/wiki/Algeria</t>
  </si>
  <si>
    <t>https://en.wikipedia.org/wiki/American_Samoa</t>
  </si>
  <si>
    <t>https://en.wikipedia.org/wiki/Andorra</t>
  </si>
  <si>
    <t>https://en.wikipedia.org/wiki/Angola</t>
  </si>
  <si>
    <t>https://en.wikipedia.org/wiki/Anguilla</t>
  </si>
  <si>
    <t>https://en.wikipedia.org/wiki/Antarctica</t>
  </si>
  <si>
    <t>https://en.wikipedia.org/wiki/Antigua_and_Barbuda</t>
  </si>
  <si>
    <t>https://en.wikipedia.org/wiki/Argentina</t>
  </si>
  <si>
    <t>https://en.wikipedia.org/wiki/Armenia</t>
  </si>
  <si>
    <t>https://en.wikipedia.org/wiki/Aruba</t>
  </si>
  <si>
    <t>https://en.wikipedia.org/wiki/Australia</t>
  </si>
  <si>
    <t>https://en.wikipedia.org/wiki/Azerbaijan</t>
  </si>
  <si>
    <t>https://en.wikipedia.org/wiki/Bahamas</t>
  </si>
  <si>
    <t>https://en.wikipedia.org/wiki/Bahrain</t>
  </si>
  <si>
    <t>https://en.wikipedia.org/wiki/Bangladesh</t>
  </si>
  <si>
    <t>https://en.wikipedia.org/wiki/Barbados</t>
  </si>
  <si>
    <t>https://en.wikipedia.org/wiki/Belarus</t>
  </si>
  <si>
    <t>https://en.wikipedia.org/wiki/Belize</t>
  </si>
  <si>
    <t>https://en.wikipedia.org/wiki/Benin</t>
  </si>
  <si>
    <t>https://en.wikipedia.org/wiki/Bermuda</t>
  </si>
  <si>
    <t>https://en.wikipedia.org/wiki/Bhutan</t>
  </si>
  <si>
    <t>https://en.wikipedia.org/wiki/Bolivia</t>
  </si>
  <si>
    <t>https://en.wikipedia.org/wiki/Bosnia_and_Herzegovina</t>
  </si>
  <si>
    <t>https://en.wikipedia.org/wiki/Botswana</t>
  </si>
  <si>
    <t>https://en.wikipedia.org/wiki/Brazil</t>
  </si>
  <si>
    <t>https://en.wikipedia.org/wiki/British_Virgin_Islands</t>
  </si>
  <si>
    <t>https://en.wikipedia.org/wiki/Brunei</t>
  </si>
  <si>
    <t>https://en.wikipedia.org/wiki/Bulgaria</t>
  </si>
  <si>
    <t>https://en.wikipedia.org/wiki/Burkina_Faso</t>
  </si>
  <si>
    <t>https://en.wikipedia.org/wiki/Burundi</t>
  </si>
  <si>
    <t>https://en.wikipedia.org/wiki/Cabo_Verde</t>
  </si>
  <si>
    <t>https://en.wikipedia.org/wiki/Cameroon</t>
  </si>
  <si>
    <t>https://en.wikipedia.org/wiki/Caribbean_Netherlands</t>
  </si>
  <si>
    <t>https://en.wikipedia.org/wiki/Cayman_Islands</t>
  </si>
  <si>
    <t>https://en.wikipedia.org/wiki/Central_African_Republic</t>
  </si>
  <si>
    <t>https://en.wikipedia.org/wiki/Chad</t>
  </si>
  <si>
    <t>https://en.wikipedia.org/wiki/Chile</t>
  </si>
  <si>
    <t>https://en.wikipedia.org/wiki/Christmas_Island</t>
  </si>
  <si>
    <t>https://en.wikipedia.org/wiki/Cocos_(Keeling)_Islands</t>
  </si>
  <si>
    <t>https://en.wikipedia.org/wiki/Colombia</t>
  </si>
  <si>
    <t>https://en.wikipedia.org/wiki/Comoros</t>
  </si>
  <si>
    <t>https://en.wikipedia.org/wiki/Congo</t>
  </si>
  <si>
    <t>https://en.wikipedia.org/wiki/Cook_Islands</t>
  </si>
  <si>
    <t>https://en.wikipedia.org/wiki/Cuba</t>
  </si>
  <si>
    <t>https://en.wikipedia.org/wiki/Curaçao</t>
  </si>
  <si>
    <t>https://en.wikipedia.org/wiki/Czechia</t>
  </si>
  <si>
    <t>https://en.wikipedia.org/wiki/Djibouti</t>
  </si>
  <si>
    <t>https://en.wikipedia.org/wiki/Dominica</t>
  </si>
  <si>
    <t>https://en.wikipedia.org/wiki/Dominican_Republic</t>
  </si>
  <si>
    <t>https://en.wikipedia.org/wiki/DRC</t>
  </si>
  <si>
    <t>https://en.wikipedia.org/wiki/Ecuador</t>
  </si>
  <si>
    <t>https://en.wikipedia.org/wiki/Egypt</t>
  </si>
  <si>
    <t>https://en.wikipedia.org/wiki/El_Salvador</t>
  </si>
  <si>
    <t>https://en.wikipedia.org/wiki/Equatorial_Guinea</t>
  </si>
  <si>
    <t>https://en.wikipedia.org/wiki/Eritrea</t>
  </si>
  <si>
    <t>https://en.wikipedia.org/wiki/Estonia</t>
  </si>
  <si>
    <t>https://en.wikipedia.org/wiki/Eswatini</t>
  </si>
  <si>
    <t>https://en.wikipedia.org/wiki/Ethiopia</t>
  </si>
  <si>
    <t>https://en.wikipedia.org/wiki/Falkland_Islands</t>
  </si>
  <si>
    <t>https://en.wikipedia.org/wiki/Faroe_Islands</t>
  </si>
  <si>
    <t>https://en.wikipedia.org/wiki/Fiji</t>
  </si>
  <si>
    <t>https://en.wikipedia.org/wiki/Finland</t>
  </si>
  <si>
    <t>https://en.wikipedia.org/wiki/French_Guiana</t>
  </si>
  <si>
    <t>https://en.wikipedia.org/wiki/French_Polynesia</t>
  </si>
  <si>
    <t>https://en.wikipedia.org/wiki/Gabon</t>
  </si>
  <si>
    <t>https://en.wikipedia.org/wiki/Gambia</t>
  </si>
  <si>
    <t>https://en.wikipedia.org/wiki/Georgia</t>
  </si>
  <si>
    <t>https://en.wikipedia.org/wiki/Ghana</t>
  </si>
  <si>
    <t>https://en.wikipedia.org/wiki/Greenland</t>
  </si>
  <si>
    <t>https://en.wikipedia.org/wiki/Grenada</t>
  </si>
  <si>
    <t>https://en.wikipedia.org/wiki/Guadeloupe</t>
  </si>
  <si>
    <t>https://en.wikipedia.org/wiki/Guam</t>
  </si>
  <si>
    <t>https://en.wikipedia.org/wiki/Guatemala</t>
  </si>
  <si>
    <t>https://en.wikipedia.org/wiki/Guernsey</t>
  </si>
  <si>
    <t>https://en.wikipedia.org/wiki/Guinea</t>
  </si>
  <si>
    <t>https://en.wikipedia.org/wiki/Guinea-Bissau</t>
  </si>
  <si>
    <t>https://en.wikipedia.org/wiki/Guyana</t>
  </si>
  <si>
    <t>https://en.wikipedia.org/wiki/Haiti</t>
  </si>
  <si>
    <t>https://en.wikipedia.org/wiki/Honduras</t>
  </si>
  <si>
    <t>https://en.wikipedia.org/wiki/India</t>
  </si>
  <si>
    <t>https://en.wikipedia.org/wiki/Iran</t>
  </si>
  <si>
    <t>https://en.wikipedia.org/wiki/Iraq</t>
  </si>
  <si>
    <t>https://en.wikipedia.org/wiki/Isle_of_Man</t>
  </si>
  <si>
    <t>https://en.wikipedia.org/wiki/Israel</t>
  </si>
  <si>
    <t>https://en.wikipedia.org/wiki/Ivory_Coast</t>
  </si>
  <si>
    <t>https://en.wikipedia.org/wiki/Jamaica</t>
  </si>
  <si>
    <t>https://en.wikipedia.org/wiki/Jersey</t>
  </si>
  <si>
    <t>https://en.wikipedia.org/wiki/Jordan</t>
  </si>
  <si>
    <t>https://en.wikipedia.org/wiki/Kazakhstan</t>
  </si>
  <si>
    <t>https://en.wikipedia.org/wiki/Kenya</t>
  </si>
  <si>
    <t>https://en.wikipedia.org/wiki/Kiribati</t>
  </si>
  <si>
    <t>https://en.wikipedia.org/wiki/Kuwait</t>
  </si>
  <si>
    <t>https://en.wikipedia.org/wiki/Kyrgyzstan</t>
  </si>
  <si>
    <t>https://en.wikipedia.org/wiki/Latvia</t>
  </si>
  <si>
    <t>https://en.wikipedia.org/wiki/Lebanon</t>
  </si>
  <si>
    <t>https://en.wikipedia.org/wiki/Lesotho</t>
  </si>
  <si>
    <t>https://en.wikipedia.org/wiki/Liberia</t>
  </si>
  <si>
    <t>https://en.wikipedia.org/wiki/Libya</t>
  </si>
  <si>
    <t>https://en.wikipedia.org/wiki/Lithuania</t>
  </si>
  <si>
    <t>https://en.wikipedia.org/wiki/Madagascar</t>
  </si>
  <si>
    <t>https://en.wikipedia.org/wiki/Malawi</t>
  </si>
  <si>
    <t>https://en.wikipedia.org/wiki/Maldives</t>
  </si>
  <si>
    <t>https://en.wikipedia.org/wiki/Mali</t>
  </si>
  <si>
    <t>https://en.wikipedia.org/wiki/Marshall_Islands</t>
  </si>
  <si>
    <t>https://en.wikipedia.org/wiki/Martinique</t>
  </si>
  <si>
    <t>https://en.wikipedia.org/wiki/Mauritania</t>
  </si>
  <si>
    <t>https://en.wikipedia.org/wiki/Mauritius</t>
  </si>
  <si>
    <t>https://en.wikipedia.org/wiki/Mayotte</t>
  </si>
  <si>
    <t>https://en.wikipedia.org/wiki/Micronesia</t>
  </si>
  <si>
    <t>https://en.wikipedia.org/wiki/Mongolia</t>
  </si>
  <si>
    <t>https://en.wikipedia.org/wiki/Montserrat</t>
  </si>
  <si>
    <t>https://en.wikipedia.org/wiki/Morocco</t>
  </si>
  <si>
    <t>https://en.wikipedia.org/wiki/Mozambique</t>
  </si>
  <si>
    <t>https://en.wikipedia.org/wiki/Myanmar</t>
  </si>
  <si>
    <t>https://en.wikipedia.org/wiki/Namibia</t>
  </si>
  <si>
    <t>https://en.wikipedia.org/wiki/Nauru</t>
  </si>
  <si>
    <t>https://en.wikipedia.org/wiki/Nepal</t>
  </si>
  <si>
    <t>https://en.wikipedia.org/wiki/New_Caledonia</t>
  </si>
  <si>
    <t>https://en.wikipedia.org/wiki/Nicaragua</t>
  </si>
  <si>
    <t>https://en.wikipedia.org/wiki/Niger</t>
  </si>
  <si>
    <t>https://en.wikipedia.org/wiki/Nigeria</t>
  </si>
  <si>
    <t>https://en.wikipedia.org/wiki/Niue</t>
  </si>
  <si>
    <t>https://en.wikipedia.org/wiki/Norfolk_Island</t>
  </si>
  <si>
    <t>https://en.wikipedia.org/wiki/North_Korea</t>
  </si>
  <si>
    <t>https://en.wikipedia.org/wiki/North_Macedonia</t>
  </si>
  <si>
    <t>https://en.wikipedia.org/wiki/Northern_Mariana_Islands</t>
  </si>
  <si>
    <t>https://en.wikipedia.org/wiki/Oman</t>
  </si>
  <si>
    <t>https://en.wikipedia.org/wiki/Pakistan</t>
  </si>
  <si>
    <t>https://en.wikipedia.org/wiki/Palau</t>
  </si>
  <si>
    <t>https://en.wikipedia.org/wiki/Palestine</t>
  </si>
  <si>
    <t>https://en.wikipedia.org/wiki/Papua_New_Guinea</t>
  </si>
  <si>
    <t>https://en.wikipedia.org/wiki/Paraguay</t>
  </si>
  <si>
    <t>https://en.wikipedia.org/wiki/Peru</t>
  </si>
  <si>
    <t>https://en.wikipedia.org/wiki/Pitcairn_Islands</t>
  </si>
  <si>
    <t>https://en.wikipedia.org/wiki/Puerto_Rico</t>
  </si>
  <si>
    <t>https://en.wikipedia.org/wiki/Qatar</t>
  </si>
  <si>
    <t>https://en.wikipedia.org/wiki/Réunion</t>
  </si>
  <si>
    <t>https://en.wikipedia.org/wiki/Rwanda</t>
  </si>
  <si>
    <t>https://en.wikipedia.org/wiki/Saint_Barthélemy</t>
  </si>
  <si>
    <t>https://en.wikipedia.org/wiki/Saint_Helena,_Ascension_and_Tristan_da_Cunha</t>
  </si>
  <si>
    <t>https://en.wikipedia.org/wiki/Saint_Kitts_and_Nevis</t>
  </si>
  <si>
    <t>https://en.wikipedia.org/wiki/Saint_Lucia</t>
  </si>
  <si>
    <t>https://en.wikipedia.org/wiki/Saint_Martin</t>
  </si>
  <si>
    <t>https://en.wikipedia.org/wiki/Saint_Pierre_and_Miquelon</t>
  </si>
  <si>
    <t>https://en.wikipedia.org/wiki/Saint_Vincent_and_the_Grenadines</t>
  </si>
  <si>
    <t>https://en.wikipedia.org/wiki/Samoa</t>
  </si>
  <si>
    <t>https://en.wikipedia.org/wiki/São_Tomé_and_Príncipe</t>
  </si>
  <si>
    <t>https://en.wikipedia.org/wiki/Saudi_Arabia</t>
  </si>
  <si>
    <t>https://en.wikipedia.org/wiki/Senegal</t>
  </si>
  <si>
    <t>https://en.wikipedia.org/wiki/Seychelles</t>
  </si>
  <si>
    <t>https://en.wikipedia.org/wiki/Sierra_Leone</t>
  </si>
  <si>
    <t>https://en.wikipedia.org/wiki/Sint_Maarten</t>
  </si>
  <si>
    <t>https://en.wikipedia.org/wiki/Solomon_Islands</t>
  </si>
  <si>
    <t>https://en.wikipedia.org/wiki/Somalia</t>
  </si>
  <si>
    <t>https://en.wikipedia.org/wiki/South_Africa</t>
  </si>
  <si>
    <t>https://en.wikipedia.org/wiki/South_Sudan</t>
  </si>
  <si>
    <t>https://en.wikipedia.org/wiki/Sri_Lanka</t>
  </si>
  <si>
    <t>https://en.wikipedia.org/wiki/Sudan</t>
  </si>
  <si>
    <t>https://en.wikipedia.org/wiki/Suriname</t>
  </si>
  <si>
    <t>https://en.wikipedia.org/wiki/Svalbard_and_Jan_Mayen</t>
  </si>
  <si>
    <t>https://en.wikipedia.org/wiki/Syria</t>
  </si>
  <si>
    <t>https://en.wikipedia.org/wiki/Tajikistan</t>
  </si>
  <si>
    <t>https://en.wikipedia.org/wiki/Tanzania</t>
  </si>
  <si>
    <t>https://en.wikipedia.org/wiki/Timor-Leste</t>
  </si>
  <si>
    <t>https://en.wikipedia.org/wiki/Togo</t>
  </si>
  <si>
    <t>https://en.wikipedia.org/wiki/Tokelau</t>
  </si>
  <si>
    <t>https://en.wikipedia.org/wiki/Tonga</t>
  </si>
  <si>
    <t>https://en.wikipedia.org/wiki/Trinidad_and_Tobago</t>
  </si>
  <si>
    <t>https://en.wikipedia.org/wiki/Tunisia</t>
  </si>
  <si>
    <t>https://en.wikipedia.org/wiki/Turkmenistan</t>
  </si>
  <si>
    <t>https://en.wikipedia.org/wiki/Turks_and_Caicos_Islands</t>
  </si>
  <si>
    <t>https://en.wikipedia.org/wiki/Tuvalu</t>
  </si>
  <si>
    <t>https://en.wikipedia.org/wiki/Uganda</t>
  </si>
  <si>
    <t>https://en.wikipedia.org/wiki/Ukraine</t>
  </si>
  <si>
    <t>https://en.wikipedia.org/wiki/United_States_Virgin_Islands</t>
  </si>
  <si>
    <t>https://en.wikipedia.org/wiki/Uruguay</t>
  </si>
  <si>
    <t>https://en.wikipedia.org/wiki/Uzbekistan</t>
  </si>
  <si>
    <t>https://en.wikipedia.org/wiki/Vanuatu</t>
  </si>
  <si>
    <t>https://en.wikipedia.org/wiki/Vatican</t>
  </si>
  <si>
    <t>https://en.wikipedia.org/wiki/Venezuela</t>
  </si>
  <si>
    <t>https://en.wikipedia.org/wiki/Wallis_and_Futuna</t>
  </si>
  <si>
    <t>https://en.wikipedia.org/wiki/Western_Sahara</t>
  </si>
  <si>
    <t>https://en.wikipedia.org/wiki/Yemen</t>
  </si>
  <si>
    <t>https://en.wikipedia.org/wiki/Zambia</t>
  </si>
  <si>
    <t>https://en.wikipedia.org/wiki/Zimbabwe</t>
  </si>
  <si>
    <t>My example trip to Austria</t>
  </si>
  <si>
    <t>business travel</t>
  </si>
  <si>
    <t>Ryainair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</si>
</sst>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_-* #,##0_-;\-* #,##0_-;_-* &quot;-&quot;??_-;_-@_-"/>
    <numFmt numFmtId="165" formatCode="0.0000"/>
    <numFmt numFmtId="166" formatCode="mmm\ yyyy"/>
    <numFmt numFmtId="167" formatCode="_-* #,##0.0_-;\-* #,##0.0_-;_-* &quot;-&quot;??_-;_-@_-"/>
  </numFmts>
  <fonts count="7" x14ac:knownFonts="1">
    <font>
      <sz val="10"/>
      <color rgb="FF000000"/>
      <name val="Arial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8"/>
      <name val="Arial"/>
      <family val="2"/>
      <scheme val="minor"/>
    </font>
    <font>
      <sz val="8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36">
    <xf numFmtId="0" fontId="0" fillId="0" borderId="0" xfId="0"/>
    <xf numFmtId="164" fontId="0" fillId="0" borderId="0" xfId="1" applyNumberFormat="1" applyFont="1"/>
    <xf numFmtId="0" fontId="2" fillId="0" borderId="0" xfId="0" applyFont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2" applyAlignment="1">
      <alignment horizontal="left" vertical="center"/>
    </xf>
    <xf numFmtId="164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2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4" fillId="0" borderId="0" xfId="2" applyNumberFormat="1" applyAlignment="1">
      <alignment horizontal="center" vertical="center"/>
    </xf>
    <xf numFmtId="49" fontId="0" fillId="0" borderId="0" xfId="0" applyNumberFormat="1"/>
    <xf numFmtId="166" fontId="2" fillId="0" borderId="0" xfId="0" applyNumberFormat="1" applyFont="1"/>
    <xf numFmtId="166" fontId="0" fillId="0" borderId="0" xfId="0" applyNumberFormat="1"/>
    <xf numFmtId="0" fontId="4" fillId="0" borderId="0" xfId="2"/>
    <xf numFmtId="0" fontId="0" fillId="2" borderId="0" xfId="0" applyFill="1"/>
    <xf numFmtId="0" fontId="4" fillId="0" borderId="0" xfId="2" applyFill="1"/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6" fontId="2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164" fontId="0" fillId="0" borderId="0" xfId="1" applyNumberFormat="1" applyFont="1" applyAlignment="1">
      <alignment vertical="center"/>
    </xf>
    <xf numFmtId="164" fontId="2" fillId="0" borderId="0" xfId="1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/>
    </xf>
    <xf numFmtId="167" fontId="0" fillId="0" borderId="0" xfId="1" applyNumberFormat="1" applyFont="1" applyAlignment="1">
      <alignment horizontal="center" vertical="center"/>
    </xf>
    <xf numFmtId="0" fontId="0" fillId="0" borderId="0" xfId="0" applyNumberFormat="1"/>
  </cellXfs>
  <cellStyles count="3">
    <cellStyle name="Komma" xfId="1" builtinId="3"/>
    <cellStyle name="Link" xfId="2" builtinId="8"/>
    <cellStyle name="Standard" xfId="0" builtinId="0"/>
  </cellStyles>
  <dxfs count="6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166" formatCode="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166" formatCode="mmm\ yyyy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30" formatCode="@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indent="0" justifyLastLine="0" shrinkToFit="0" readingOrder="0"/>
    </dxf>
    <dxf>
      <font>
        <strike val="0"/>
      </font>
      <fill>
        <patternFill>
          <bgColor rgb="FFC00000"/>
        </patternFill>
      </fill>
    </dxf>
    <dxf>
      <numFmt numFmtId="166" formatCode="mmm\ yyyy"/>
      <alignment horizontal="center" vertical="center" textRotation="0" wrapText="0" indent="0" justifyLastLine="0" shrinkToFit="0" readingOrder="0"/>
    </dxf>
    <dxf>
      <numFmt numFmtId="166" formatCode="mmm\ yyyy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0" formatCode="General"/>
    </dxf>
    <dxf>
      <alignment vertical="center" textRotation="0" indent="0" justifyLastLine="0" shrinkToFit="0" readingOrder="0"/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4">
    <tableStyle name="Summary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Data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ities-style" pivot="0" count="3" xr9:uid="{00000000-0011-0000-FFFF-FFFF02000000}">
      <tableStyleElement type="headerRow" dxfId="61"/>
      <tableStyleElement type="firstRowStripe" dxfId="60"/>
      <tableStyleElement type="secondRowStripe" dxfId="59"/>
    </tableStyle>
    <tableStyle name="Airports-style" pivot="0" count="3" xr9:uid="{00000000-0011-0000-FFFF-FFFF03000000}">
      <tableStyleElement type="headerRow" dxfId="58"/>
      <tableStyleElement type="firstRowStripe" dxfId="57"/>
      <tableStyleElement type="secondRowStripe" dxfId="5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0/07/relationships/rdRichValueWebImage" Target="richData/rdRichValueWebImag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31" noThreeD="1" sel="1" val="0">
  <itemLst>
    <item val="English"/>
    <item val="Chinese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1</xdr:row>
          <xdr:rowOff>9525</xdr:rowOff>
        </xdr:from>
        <xdr:to>
          <xdr:col>7</xdr:col>
          <xdr:colOff>752475</xdr:colOff>
          <xdr:row>4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Travel Dashboard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3</xdr:col>
          <xdr:colOff>752475</xdr:colOff>
          <xdr:row>3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Visited Cities Map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5</xdr:row>
          <xdr:rowOff>9525</xdr:rowOff>
        </xdr:from>
        <xdr:to>
          <xdr:col>8</xdr:col>
          <xdr:colOff>9525</xdr:colOff>
          <xdr:row>7</xdr:row>
          <xdr:rowOff>152400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Yearly Overview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152400</xdr:rowOff>
        </xdr:from>
        <xdr:to>
          <xdr:col>4</xdr:col>
          <xdr:colOff>9525</xdr:colOff>
          <xdr:row>7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Aviation Map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9</xdr:row>
          <xdr:rowOff>152400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3321" name="LangCodeDropdown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0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dRichValueWebImage.xml.rels><?xml version="1.0" encoding="UTF-8" standalone="yes"?>
<Relationships xmlns="http://schemas.openxmlformats.org/package/2006/relationships"><Relationship Id="rId117" Type="http://schemas.openxmlformats.org/officeDocument/2006/relationships/hyperlink" Target="https://flagsapi.com/DM/flat/64.png" TargetMode="External"/><Relationship Id="rId299" Type="http://schemas.openxmlformats.org/officeDocument/2006/relationships/image" Target="../media/image149.png"/><Relationship Id="rId21" Type="http://schemas.openxmlformats.org/officeDocument/2006/relationships/hyperlink" Target="https://flagsapi.com/AM/flat/64.png" TargetMode="External"/><Relationship Id="rId63" Type="http://schemas.openxmlformats.org/officeDocument/2006/relationships/hyperlink" Target="https://flagsapi.com/BG/flat/64.png" TargetMode="External"/><Relationship Id="rId159" Type="http://schemas.openxmlformats.org/officeDocument/2006/relationships/hyperlink" Target="https://flagsapi.com/DE/flat/64.png" TargetMode="External"/><Relationship Id="rId324" Type="http://schemas.openxmlformats.org/officeDocument/2006/relationships/hyperlink" Target="https://flagsapi.com/OM/flat/64.png" TargetMode="External"/><Relationship Id="rId366" Type="http://schemas.openxmlformats.org/officeDocument/2006/relationships/hyperlink" Target="https://flagsapi.com/LC/flat/64.png" TargetMode="External"/><Relationship Id="rId170" Type="http://schemas.openxmlformats.org/officeDocument/2006/relationships/image" Target="../media/image85.png"/><Relationship Id="rId226" Type="http://schemas.openxmlformats.org/officeDocument/2006/relationships/image" Target="../media/image113.png"/><Relationship Id="rId433" Type="http://schemas.openxmlformats.org/officeDocument/2006/relationships/image" Target="../media/image216.png"/><Relationship Id="rId268" Type="http://schemas.openxmlformats.org/officeDocument/2006/relationships/image" Target="../media/image134.png"/><Relationship Id="rId475" Type="http://schemas.openxmlformats.org/officeDocument/2006/relationships/image" Target="../media/image237.png"/><Relationship Id="rId32" Type="http://schemas.openxmlformats.org/officeDocument/2006/relationships/image" Target="../media/image16.png"/><Relationship Id="rId74" Type="http://schemas.openxmlformats.org/officeDocument/2006/relationships/image" Target="../media/image37.png"/><Relationship Id="rId128" Type="http://schemas.openxmlformats.org/officeDocument/2006/relationships/image" Target="../media/image64.png"/><Relationship Id="rId335" Type="http://schemas.openxmlformats.org/officeDocument/2006/relationships/image" Target="../media/image167.png"/><Relationship Id="rId377" Type="http://schemas.openxmlformats.org/officeDocument/2006/relationships/image" Target="../media/image188.png"/><Relationship Id="rId5" Type="http://schemas.openxmlformats.org/officeDocument/2006/relationships/hyperlink" Target="https://flagsapi.com/DZ/flat/64.png" TargetMode="External"/><Relationship Id="rId181" Type="http://schemas.openxmlformats.org/officeDocument/2006/relationships/hyperlink" Target="https://flagsapi.com/GW/flat/64.png" TargetMode="External"/><Relationship Id="rId237" Type="http://schemas.openxmlformats.org/officeDocument/2006/relationships/hyperlink" Target="https://flagsapi.com/LS/flat/64.png" TargetMode="External"/><Relationship Id="rId402" Type="http://schemas.openxmlformats.org/officeDocument/2006/relationships/hyperlink" Target="https://flagsapi.com/ZA/flat/64.png" TargetMode="External"/><Relationship Id="rId279" Type="http://schemas.openxmlformats.org/officeDocument/2006/relationships/hyperlink" Target="https://flagsapi.com/MC/flat/64.png" TargetMode="External"/><Relationship Id="rId444" Type="http://schemas.openxmlformats.org/officeDocument/2006/relationships/hyperlink" Target="https://flagsapi.com/TR/flat/64.png" TargetMode="External"/><Relationship Id="rId43" Type="http://schemas.openxmlformats.org/officeDocument/2006/relationships/hyperlink" Target="https://flagsapi.com/BZ/flat/64.png" TargetMode="External"/><Relationship Id="rId139" Type="http://schemas.openxmlformats.org/officeDocument/2006/relationships/hyperlink" Target="https://flagsapi.com/FK/flat/64.png" TargetMode="External"/><Relationship Id="rId290" Type="http://schemas.openxmlformats.org/officeDocument/2006/relationships/hyperlink" Target="https://flagsapi.com/MM/flat/64.png" TargetMode="External"/><Relationship Id="rId304" Type="http://schemas.openxmlformats.org/officeDocument/2006/relationships/hyperlink" Target="https://flagsapi.com/NI/flat/64.png" TargetMode="External"/><Relationship Id="rId346" Type="http://schemas.openxmlformats.org/officeDocument/2006/relationships/hyperlink" Target="https://flagsapi.com/PT/flat/64.png" TargetMode="External"/><Relationship Id="rId388" Type="http://schemas.openxmlformats.org/officeDocument/2006/relationships/hyperlink" Target="https://flagsapi.com/SL/flat/64.png" TargetMode="External"/><Relationship Id="rId85" Type="http://schemas.openxmlformats.org/officeDocument/2006/relationships/hyperlink" Target="https://flagsapi.com/CL/flat/64.png" TargetMode="External"/><Relationship Id="rId150" Type="http://schemas.openxmlformats.org/officeDocument/2006/relationships/image" Target="../media/image75.png"/><Relationship Id="rId192" Type="http://schemas.openxmlformats.org/officeDocument/2006/relationships/image" Target="../media/image96.png"/><Relationship Id="rId206" Type="http://schemas.openxmlformats.org/officeDocument/2006/relationships/image" Target="../media/image103.png"/><Relationship Id="rId413" Type="http://schemas.openxmlformats.org/officeDocument/2006/relationships/image" Target="../media/image206.png"/><Relationship Id="rId248" Type="http://schemas.openxmlformats.org/officeDocument/2006/relationships/image" Target="../media/image124.png"/><Relationship Id="rId455" Type="http://schemas.openxmlformats.org/officeDocument/2006/relationships/image" Target="../media/image227.png"/><Relationship Id="rId12" Type="http://schemas.openxmlformats.org/officeDocument/2006/relationships/image" Target="../media/image6.png"/><Relationship Id="rId108" Type="http://schemas.openxmlformats.org/officeDocument/2006/relationships/image" Target="../media/image54.png"/><Relationship Id="rId315" Type="http://schemas.openxmlformats.org/officeDocument/2006/relationships/image" Target="../media/image157.png"/><Relationship Id="rId357" Type="http://schemas.openxmlformats.org/officeDocument/2006/relationships/image" Target="../media/image178.png"/><Relationship Id="rId54" Type="http://schemas.openxmlformats.org/officeDocument/2006/relationships/image" Target="../media/image27.png"/><Relationship Id="rId96" Type="http://schemas.openxmlformats.org/officeDocument/2006/relationships/image" Target="../media/image48.png"/><Relationship Id="rId161" Type="http://schemas.openxmlformats.org/officeDocument/2006/relationships/hyperlink" Target="https://flagsapi.com/GH/flat/64.png" TargetMode="External"/><Relationship Id="rId217" Type="http://schemas.openxmlformats.org/officeDocument/2006/relationships/hyperlink" Target="https://flagsapi.com/JE/flat/64.png" TargetMode="External"/><Relationship Id="rId399" Type="http://schemas.openxmlformats.org/officeDocument/2006/relationships/image" Target="../media/image199.png"/><Relationship Id="rId259" Type="http://schemas.openxmlformats.org/officeDocument/2006/relationships/hyperlink" Target="https://flagsapi.com/ML/flat/64.png" TargetMode="External"/><Relationship Id="rId424" Type="http://schemas.openxmlformats.org/officeDocument/2006/relationships/hyperlink" Target="https://flagsapi.com/TW/flat/64.png" TargetMode="External"/><Relationship Id="rId466" Type="http://schemas.openxmlformats.org/officeDocument/2006/relationships/hyperlink" Target="https://flagsapi.com/UZ/flat/64.png" TargetMode="External"/><Relationship Id="rId23" Type="http://schemas.openxmlformats.org/officeDocument/2006/relationships/hyperlink" Target="https://flagsapi.com/AW/flat/64.png" TargetMode="External"/><Relationship Id="rId119" Type="http://schemas.openxmlformats.org/officeDocument/2006/relationships/hyperlink" Target="https://flagsapi.com/DO/flat/64.png" TargetMode="External"/><Relationship Id="rId270" Type="http://schemas.openxmlformats.org/officeDocument/2006/relationships/image" Target="../media/image135.png"/><Relationship Id="rId326" Type="http://schemas.openxmlformats.org/officeDocument/2006/relationships/hyperlink" Target="https://flagsapi.com/PK/flat/64.png" TargetMode="External"/><Relationship Id="rId65" Type="http://schemas.openxmlformats.org/officeDocument/2006/relationships/hyperlink" Target="https://flagsapi.com/BF/flat/64.png" TargetMode="External"/><Relationship Id="rId130" Type="http://schemas.openxmlformats.org/officeDocument/2006/relationships/image" Target="../media/image65.png"/><Relationship Id="rId368" Type="http://schemas.openxmlformats.org/officeDocument/2006/relationships/hyperlink" Target="https://flagsapi.com/MF/flat/64.png" TargetMode="External"/><Relationship Id="rId172" Type="http://schemas.openxmlformats.org/officeDocument/2006/relationships/image" Target="../media/image86.png"/><Relationship Id="rId228" Type="http://schemas.openxmlformats.org/officeDocument/2006/relationships/image" Target="../media/image114.png"/><Relationship Id="rId435" Type="http://schemas.openxmlformats.org/officeDocument/2006/relationships/image" Target="../media/image217.png"/><Relationship Id="rId477" Type="http://schemas.openxmlformats.org/officeDocument/2006/relationships/image" Target="../media/image238.png"/><Relationship Id="rId281" Type="http://schemas.openxmlformats.org/officeDocument/2006/relationships/image" Target="../media/image140.png"/><Relationship Id="rId337" Type="http://schemas.openxmlformats.org/officeDocument/2006/relationships/image" Target="../media/image168.png"/><Relationship Id="rId34" Type="http://schemas.openxmlformats.org/officeDocument/2006/relationships/image" Target="../media/image17.png"/><Relationship Id="rId76" Type="http://schemas.openxmlformats.org/officeDocument/2006/relationships/image" Target="../media/image38.png"/><Relationship Id="rId141" Type="http://schemas.openxmlformats.org/officeDocument/2006/relationships/hyperlink" Target="https://flagsapi.com/FO/flat/64.png" TargetMode="External"/><Relationship Id="rId379" Type="http://schemas.openxmlformats.org/officeDocument/2006/relationships/image" Target="../media/image189.png"/><Relationship Id="rId7" Type="http://schemas.openxmlformats.org/officeDocument/2006/relationships/hyperlink" Target="https://flagsapi.com/AS/flat/64.png" TargetMode="External"/><Relationship Id="rId183" Type="http://schemas.openxmlformats.org/officeDocument/2006/relationships/hyperlink" Target="https://flagsapi.com/GY/flat/64.png" TargetMode="External"/><Relationship Id="rId239" Type="http://schemas.openxmlformats.org/officeDocument/2006/relationships/hyperlink" Target="https://flagsapi.com/LR/flat/64.png" TargetMode="External"/><Relationship Id="rId390" Type="http://schemas.openxmlformats.org/officeDocument/2006/relationships/hyperlink" Target="https://flagsapi.com/SG/flat/64.png" TargetMode="External"/><Relationship Id="rId404" Type="http://schemas.openxmlformats.org/officeDocument/2006/relationships/hyperlink" Target="https://flagsapi.com/KR/flat/64.png" TargetMode="External"/><Relationship Id="rId446" Type="http://schemas.openxmlformats.org/officeDocument/2006/relationships/hyperlink" Target="https://flagsapi.com/TM/flat/64.png" TargetMode="External"/><Relationship Id="rId250" Type="http://schemas.openxmlformats.org/officeDocument/2006/relationships/image" Target="../media/image125.png"/><Relationship Id="rId292" Type="http://schemas.openxmlformats.org/officeDocument/2006/relationships/hyperlink" Target="https://flagsapi.com/NA/flat/64.png" TargetMode="External"/><Relationship Id="rId306" Type="http://schemas.openxmlformats.org/officeDocument/2006/relationships/hyperlink" Target="https://flagsapi.com/NE/flat/64.png" TargetMode="External"/><Relationship Id="rId45" Type="http://schemas.openxmlformats.org/officeDocument/2006/relationships/hyperlink" Target="https://flagsapi.com/BJ/flat/64.png" TargetMode="External"/><Relationship Id="rId87" Type="http://schemas.openxmlformats.org/officeDocument/2006/relationships/hyperlink" Target="https://flagsapi.com/CN/flat/64.png" TargetMode="External"/><Relationship Id="rId110" Type="http://schemas.openxmlformats.org/officeDocument/2006/relationships/image" Target="../media/image55.png"/><Relationship Id="rId348" Type="http://schemas.openxmlformats.org/officeDocument/2006/relationships/hyperlink" Target="https://flagsapi.com/PR/flat/64.png" TargetMode="External"/><Relationship Id="rId152" Type="http://schemas.openxmlformats.org/officeDocument/2006/relationships/image" Target="../media/image76.png"/><Relationship Id="rId194" Type="http://schemas.openxmlformats.org/officeDocument/2006/relationships/image" Target="../media/image97.png"/><Relationship Id="rId208" Type="http://schemas.openxmlformats.org/officeDocument/2006/relationships/image" Target="../media/image104.png"/><Relationship Id="rId415" Type="http://schemas.openxmlformats.org/officeDocument/2006/relationships/image" Target="../media/image207.png"/><Relationship Id="rId457" Type="http://schemas.openxmlformats.org/officeDocument/2006/relationships/image" Target="../media/image228.png"/><Relationship Id="rId261" Type="http://schemas.openxmlformats.org/officeDocument/2006/relationships/hyperlink" Target="https://flagsapi.com/MT/flat/64.png" TargetMode="External"/><Relationship Id="rId14" Type="http://schemas.openxmlformats.org/officeDocument/2006/relationships/image" Target="../media/image7.png"/><Relationship Id="rId56" Type="http://schemas.openxmlformats.org/officeDocument/2006/relationships/image" Target="../media/image28.png"/><Relationship Id="rId317" Type="http://schemas.openxmlformats.org/officeDocument/2006/relationships/image" Target="../media/image158.png"/><Relationship Id="rId359" Type="http://schemas.openxmlformats.org/officeDocument/2006/relationships/image" Target="../media/image179.png"/><Relationship Id="rId98" Type="http://schemas.openxmlformats.org/officeDocument/2006/relationships/image" Target="../media/image49.png"/><Relationship Id="rId121" Type="http://schemas.openxmlformats.org/officeDocument/2006/relationships/hyperlink" Target="https://flagsapi.com/CD/flat/64.png" TargetMode="External"/><Relationship Id="rId163" Type="http://schemas.openxmlformats.org/officeDocument/2006/relationships/hyperlink" Target="https://flagsapi.com/GI/flat/64.png" TargetMode="External"/><Relationship Id="rId219" Type="http://schemas.openxmlformats.org/officeDocument/2006/relationships/hyperlink" Target="https://flagsapi.com/JO/flat/64.png" TargetMode="External"/><Relationship Id="rId370" Type="http://schemas.openxmlformats.org/officeDocument/2006/relationships/hyperlink" Target="https://thumb.wikimedia.org/wikipedia/commons/thumb/7/74/Flag_of_Saint-Pierre_and_Miquelon.svg/1280px-Flag_of_Saint-Pierre_and_Miquelon.svg.png" TargetMode="External"/><Relationship Id="rId426" Type="http://schemas.openxmlformats.org/officeDocument/2006/relationships/hyperlink" Target="https://flagsapi.com/TJ/flat/64.png" TargetMode="External"/><Relationship Id="rId230" Type="http://schemas.openxmlformats.org/officeDocument/2006/relationships/image" Target="../media/image115.png"/><Relationship Id="rId468" Type="http://schemas.openxmlformats.org/officeDocument/2006/relationships/hyperlink" Target="https://flagsapi.com/VU/flat/64.png" TargetMode="External"/><Relationship Id="rId25" Type="http://schemas.openxmlformats.org/officeDocument/2006/relationships/hyperlink" Target="https://flagsapi.com/AU/flat/64.png" TargetMode="External"/><Relationship Id="rId67" Type="http://schemas.openxmlformats.org/officeDocument/2006/relationships/hyperlink" Target="https://flagsapi.com/BI/flat/64.png" TargetMode="External"/><Relationship Id="rId272" Type="http://schemas.openxmlformats.org/officeDocument/2006/relationships/image" Target="../media/image136.png"/><Relationship Id="rId328" Type="http://schemas.openxmlformats.org/officeDocument/2006/relationships/hyperlink" Target="https://flagsapi.com/PW/flat/64.png" TargetMode="External"/><Relationship Id="rId132" Type="http://schemas.openxmlformats.org/officeDocument/2006/relationships/image" Target="../media/image66.png"/><Relationship Id="rId174" Type="http://schemas.openxmlformats.org/officeDocument/2006/relationships/image" Target="../media/image87.png"/><Relationship Id="rId381" Type="http://schemas.openxmlformats.org/officeDocument/2006/relationships/image" Target="../media/image190.png"/><Relationship Id="rId241" Type="http://schemas.openxmlformats.org/officeDocument/2006/relationships/hyperlink" Target="https://flagsapi.com/LY/flat/64.png" TargetMode="External"/><Relationship Id="rId437" Type="http://schemas.openxmlformats.org/officeDocument/2006/relationships/image" Target="../media/image218.png"/><Relationship Id="rId479" Type="http://schemas.openxmlformats.org/officeDocument/2006/relationships/image" Target="../media/image239.png"/><Relationship Id="rId36" Type="http://schemas.openxmlformats.org/officeDocument/2006/relationships/image" Target="../media/image18.png"/><Relationship Id="rId283" Type="http://schemas.openxmlformats.org/officeDocument/2006/relationships/image" Target="../media/image141.png"/><Relationship Id="rId339" Type="http://schemas.openxmlformats.org/officeDocument/2006/relationships/image" Target="../media/image169.png"/><Relationship Id="rId78" Type="http://schemas.openxmlformats.org/officeDocument/2006/relationships/image" Target="../media/image39.png"/><Relationship Id="rId101" Type="http://schemas.openxmlformats.org/officeDocument/2006/relationships/hyperlink" Target="https://flagsapi.com/CR/flat/64.png" TargetMode="External"/><Relationship Id="rId143" Type="http://schemas.openxmlformats.org/officeDocument/2006/relationships/hyperlink" Target="https://flagsapi.com/FJ/flat/64.png" TargetMode="External"/><Relationship Id="rId185" Type="http://schemas.openxmlformats.org/officeDocument/2006/relationships/hyperlink" Target="https://flagsapi.com/HT/flat/64.png" TargetMode="External"/><Relationship Id="rId350" Type="http://schemas.openxmlformats.org/officeDocument/2006/relationships/hyperlink" Target="https://flagsapi.com/QA/flat/64.png" TargetMode="External"/><Relationship Id="rId406" Type="http://schemas.openxmlformats.org/officeDocument/2006/relationships/hyperlink" Target="https://flagsapi.com/SS/flat/64.png" TargetMode="External"/><Relationship Id="rId9" Type="http://schemas.openxmlformats.org/officeDocument/2006/relationships/hyperlink" Target="https://flagsapi.com/AD/flat/64.png" TargetMode="External"/><Relationship Id="rId210" Type="http://schemas.openxmlformats.org/officeDocument/2006/relationships/image" Target="../media/image105.png"/><Relationship Id="rId392" Type="http://schemas.openxmlformats.org/officeDocument/2006/relationships/hyperlink" Target="https://thumb.wikimedia.org/wikipedia/commons/thumb/d/d3/Flag_of_Sint_Maarten.svg/1280px-Flag_of_Sint_Maarten.svg.png" TargetMode="External"/><Relationship Id="rId448" Type="http://schemas.openxmlformats.org/officeDocument/2006/relationships/hyperlink" Target="https://flagsapi.com/TC/flat/64.png" TargetMode="External"/><Relationship Id="rId252" Type="http://schemas.openxmlformats.org/officeDocument/2006/relationships/image" Target="../media/image126.png"/><Relationship Id="rId294" Type="http://schemas.openxmlformats.org/officeDocument/2006/relationships/hyperlink" Target="https://flagsapi.com/NR/flat/64.png" TargetMode="External"/><Relationship Id="rId308" Type="http://schemas.openxmlformats.org/officeDocument/2006/relationships/hyperlink" Target="https://flagsapi.com/NG/flat/64.png" TargetMode="External"/><Relationship Id="rId47" Type="http://schemas.openxmlformats.org/officeDocument/2006/relationships/hyperlink" Target="https://flagsapi.com/BM/flat/64.png" TargetMode="External"/><Relationship Id="rId89" Type="http://schemas.openxmlformats.org/officeDocument/2006/relationships/hyperlink" Target="https://flagsapi.com/CX/flat/64.png" TargetMode="External"/><Relationship Id="rId112" Type="http://schemas.openxmlformats.org/officeDocument/2006/relationships/image" Target="../media/image56.png"/><Relationship Id="rId154" Type="http://schemas.openxmlformats.org/officeDocument/2006/relationships/image" Target="../media/image77.png"/><Relationship Id="rId361" Type="http://schemas.openxmlformats.org/officeDocument/2006/relationships/image" Target="../media/image180.png"/><Relationship Id="rId196" Type="http://schemas.openxmlformats.org/officeDocument/2006/relationships/image" Target="../media/image98.png"/><Relationship Id="rId417" Type="http://schemas.openxmlformats.org/officeDocument/2006/relationships/image" Target="../media/image208.png"/><Relationship Id="rId459" Type="http://schemas.openxmlformats.org/officeDocument/2006/relationships/image" Target="../media/image229.png"/><Relationship Id="rId16" Type="http://schemas.openxmlformats.org/officeDocument/2006/relationships/image" Target="../media/image8.png"/><Relationship Id="rId221" Type="http://schemas.openxmlformats.org/officeDocument/2006/relationships/hyperlink" Target="https://flagsapi.com/KZ/flat/64.png" TargetMode="External"/><Relationship Id="rId263" Type="http://schemas.openxmlformats.org/officeDocument/2006/relationships/hyperlink" Target="https://flagsapi.com/MH/flat/64.png" TargetMode="External"/><Relationship Id="rId319" Type="http://schemas.openxmlformats.org/officeDocument/2006/relationships/image" Target="../media/image159.png"/><Relationship Id="rId470" Type="http://schemas.openxmlformats.org/officeDocument/2006/relationships/hyperlink" Target="https://flagsapi.com/VA/flat/64.png" TargetMode="External"/><Relationship Id="rId58" Type="http://schemas.openxmlformats.org/officeDocument/2006/relationships/image" Target="../media/image29.png"/><Relationship Id="rId123" Type="http://schemas.openxmlformats.org/officeDocument/2006/relationships/hyperlink" Target="https://flagsapi.com/EC/flat/64.png" TargetMode="External"/><Relationship Id="rId330" Type="http://schemas.openxmlformats.org/officeDocument/2006/relationships/hyperlink" Target="https://flagsapi.com/PS/flat/64.png" TargetMode="External"/><Relationship Id="rId165" Type="http://schemas.openxmlformats.org/officeDocument/2006/relationships/hyperlink" Target="https://flagsapi.com/GR/flat/64.png" TargetMode="External"/><Relationship Id="rId372" Type="http://schemas.openxmlformats.org/officeDocument/2006/relationships/hyperlink" Target="https://flagsapi.com/VC/flat/64.png" TargetMode="External"/><Relationship Id="rId428" Type="http://schemas.openxmlformats.org/officeDocument/2006/relationships/hyperlink" Target="https://flagsapi.com/TZ/flat/64.png" TargetMode="External"/><Relationship Id="rId232" Type="http://schemas.openxmlformats.org/officeDocument/2006/relationships/image" Target="../media/image116.png"/><Relationship Id="rId274" Type="http://schemas.openxmlformats.org/officeDocument/2006/relationships/image" Target="../media/image137.png"/><Relationship Id="rId481" Type="http://schemas.openxmlformats.org/officeDocument/2006/relationships/image" Target="../media/image240.png"/><Relationship Id="rId27" Type="http://schemas.openxmlformats.org/officeDocument/2006/relationships/hyperlink" Target="https://flagsapi.com/AT/flat/64.png" TargetMode="External"/><Relationship Id="rId69" Type="http://schemas.openxmlformats.org/officeDocument/2006/relationships/hyperlink" Target="https://flagsapi.com/CV/flat/64.png" TargetMode="External"/><Relationship Id="rId134" Type="http://schemas.openxmlformats.org/officeDocument/2006/relationships/image" Target="../media/image67.png"/><Relationship Id="rId80" Type="http://schemas.openxmlformats.org/officeDocument/2006/relationships/image" Target="../media/image40.png"/><Relationship Id="rId176" Type="http://schemas.openxmlformats.org/officeDocument/2006/relationships/image" Target="../media/image88.png"/><Relationship Id="rId341" Type="http://schemas.openxmlformats.org/officeDocument/2006/relationships/image" Target="../media/image170.png"/><Relationship Id="rId383" Type="http://schemas.openxmlformats.org/officeDocument/2006/relationships/image" Target="../media/image191.png"/><Relationship Id="rId439" Type="http://schemas.openxmlformats.org/officeDocument/2006/relationships/image" Target="../media/image219.png"/><Relationship Id="rId201" Type="http://schemas.openxmlformats.org/officeDocument/2006/relationships/hyperlink" Target="https://flagsapi.com/IQ/flat/64.png" TargetMode="External"/><Relationship Id="rId243" Type="http://schemas.openxmlformats.org/officeDocument/2006/relationships/hyperlink" Target="https://flagsapi.com/LI/flat/64.png" TargetMode="External"/><Relationship Id="rId285" Type="http://schemas.openxmlformats.org/officeDocument/2006/relationships/image" Target="../media/image142.png"/><Relationship Id="rId450" Type="http://schemas.openxmlformats.org/officeDocument/2006/relationships/hyperlink" Target="https://flagsapi.com/TV/flat/64.png" TargetMode="External"/><Relationship Id="rId38" Type="http://schemas.openxmlformats.org/officeDocument/2006/relationships/image" Target="../media/image19.png"/><Relationship Id="rId103" Type="http://schemas.openxmlformats.org/officeDocument/2006/relationships/hyperlink" Target="https://flagsapi.com/HR/flat/64.png" TargetMode="External"/><Relationship Id="rId310" Type="http://schemas.openxmlformats.org/officeDocument/2006/relationships/hyperlink" Target="https://flagsapi.com/NU/flat/64.png" TargetMode="External"/><Relationship Id="rId91" Type="http://schemas.openxmlformats.org/officeDocument/2006/relationships/hyperlink" Target="https://flagsapi.com/CC/flat/64.png" TargetMode="External"/><Relationship Id="rId145" Type="http://schemas.openxmlformats.org/officeDocument/2006/relationships/hyperlink" Target="https://flagsapi.com/FI/flat/64.png" TargetMode="External"/><Relationship Id="rId187" Type="http://schemas.openxmlformats.org/officeDocument/2006/relationships/hyperlink" Target="https://flagsapi.com/HN/flat/64.png" TargetMode="External"/><Relationship Id="rId352" Type="http://schemas.openxmlformats.org/officeDocument/2006/relationships/hyperlink" Target="https://flagsapi.com/RE/flat/64.png" TargetMode="External"/><Relationship Id="rId394" Type="http://schemas.openxmlformats.org/officeDocument/2006/relationships/hyperlink" Target="https://flagsapi.com/SK/flat/64.png" TargetMode="External"/><Relationship Id="rId408" Type="http://schemas.openxmlformats.org/officeDocument/2006/relationships/hyperlink" Target="https://flagsapi.com/ES/flat/64.png" TargetMode="External"/><Relationship Id="rId212" Type="http://schemas.openxmlformats.org/officeDocument/2006/relationships/image" Target="../media/image106.png"/><Relationship Id="rId254" Type="http://schemas.openxmlformats.org/officeDocument/2006/relationships/image" Target="../media/image127.png"/><Relationship Id="rId49" Type="http://schemas.openxmlformats.org/officeDocument/2006/relationships/hyperlink" Target="https://flagsapi.com/BT/flat/64.png" TargetMode="External"/><Relationship Id="rId114" Type="http://schemas.openxmlformats.org/officeDocument/2006/relationships/image" Target="../media/image57.png"/><Relationship Id="rId296" Type="http://schemas.openxmlformats.org/officeDocument/2006/relationships/hyperlink" Target="https://flagsapi.com/NP/flat/64.png" TargetMode="External"/><Relationship Id="rId461" Type="http://schemas.openxmlformats.org/officeDocument/2006/relationships/image" Target="../media/image230.png"/><Relationship Id="rId60" Type="http://schemas.openxmlformats.org/officeDocument/2006/relationships/image" Target="../media/image30.png"/><Relationship Id="rId156" Type="http://schemas.openxmlformats.org/officeDocument/2006/relationships/image" Target="../media/image78.png"/><Relationship Id="rId198" Type="http://schemas.openxmlformats.org/officeDocument/2006/relationships/image" Target="../media/image99.png"/><Relationship Id="rId321" Type="http://schemas.openxmlformats.org/officeDocument/2006/relationships/image" Target="../media/image160.png"/><Relationship Id="rId363" Type="http://schemas.openxmlformats.org/officeDocument/2006/relationships/image" Target="../media/image181.png"/><Relationship Id="rId419" Type="http://schemas.openxmlformats.org/officeDocument/2006/relationships/image" Target="../media/image209.png"/><Relationship Id="rId223" Type="http://schemas.openxmlformats.org/officeDocument/2006/relationships/hyperlink" Target="https://flagsapi.com/KE/flat/64.png" TargetMode="External"/><Relationship Id="rId430" Type="http://schemas.openxmlformats.org/officeDocument/2006/relationships/hyperlink" Target="https://flagsapi.com/TH/flat/64.png" TargetMode="External"/><Relationship Id="rId18" Type="http://schemas.openxmlformats.org/officeDocument/2006/relationships/image" Target="../media/image9.png"/><Relationship Id="rId265" Type="http://schemas.openxmlformats.org/officeDocument/2006/relationships/hyperlink" Target="https://flagsapi.com/MQ/flat/64.png" TargetMode="External"/><Relationship Id="rId472" Type="http://schemas.openxmlformats.org/officeDocument/2006/relationships/hyperlink" Target="https://flagsapi.com/VE/flat/64.png" TargetMode="External"/><Relationship Id="rId125" Type="http://schemas.openxmlformats.org/officeDocument/2006/relationships/hyperlink" Target="https://flagsapi.com/EG/flat/64.png" TargetMode="External"/><Relationship Id="rId167" Type="http://schemas.openxmlformats.org/officeDocument/2006/relationships/hyperlink" Target="https://flagsapi.com/GL/flat/64.png" TargetMode="External"/><Relationship Id="rId332" Type="http://schemas.openxmlformats.org/officeDocument/2006/relationships/hyperlink" Target="https://flagsapi.com/PA/flat/64.png" TargetMode="External"/><Relationship Id="rId374" Type="http://schemas.openxmlformats.org/officeDocument/2006/relationships/hyperlink" Target="https://flagsapi.com/WS/flat/64.png" TargetMode="External"/><Relationship Id="rId71" Type="http://schemas.openxmlformats.org/officeDocument/2006/relationships/hyperlink" Target="https://flagsapi.com/KH/flat/64.png" TargetMode="External"/><Relationship Id="rId234" Type="http://schemas.openxmlformats.org/officeDocument/2006/relationships/image" Target="../media/image117.png"/><Relationship Id="rId2" Type="http://schemas.openxmlformats.org/officeDocument/2006/relationships/image" Target="../media/image1.png"/><Relationship Id="rId29" Type="http://schemas.openxmlformats.org/officeDocument/2006/relationships/hyperlink" Target="https://flagsapi.com/AZ/flat/64.png" TargetMode="External"/><Relationship Id="rId276" Type="http://schemas.openxmlformats.org/officeDocument/2006/relationships/image" Target="../media/image138.png"/><Relationship Id="rId441" Type="http://schemas.openxmlformats.org/officeDocument/2006/relationships/image" Target="../media/image220.png"/><Relationship Id="rId483" Type="http://schemas.openxmlformats.org/officeDocument/2006/relationships/image" Target="../media/image241.png"/><Relationship Id="rId40" Type="http://schemas.openxmlformats.org/officeDocument/2006/relationships/image" Target="../media/image20.png"/><Relationship Id="rId136" Type="http://schemas.openxmlformats.org/officeDocument/2006/relationships/image" Target="../media/image68.png"/><Relationship Id="rId178" Type="http://schemas.openxmlformats.org/officeDocument/2006/relationships/image" Target="../media/image89.png"/><Relationship Id="rId301" Type="http://schemas.openxmlformats.org/officeDocument/2006/relationships/image" Target="../media/image150.png"/><Relationship Id="rId343" Type="http://schemas.openxmlformats.org/officeDocument/2006/relationships/image" Target="../media/image171.png"/><Relationship Id="rId82" Type="http://schemas.openxmlformats.org/officeDocument/2006/relationships/image" Target="../media/image41.png"/><Relationship Id="rId203" Type="http://schemas.openxmlformats.org/officeDocument/2006/relationships/hyperlink" Target="https://flagsapi.com/IE/flat/64.png" TargetMode="External"/><Relationship Id="rId385" Type="http://schemas.openxmlformats.org/officeDocument/2006/relationships/image" Target="../media/image192.png"/><Relationship Id="rId245" Type="http://schemas.openxmlformats.org/officeDocument/2006/relationships/hyperlink" Target="https://flagsapi.com/LT/flat/64.png" TargetMode="External"/><Relationship Id="rId287" Type="http://schemas.openxmlformats.org/officeDocument/2006/relationships/image" Target="../media/image143.png"/><Relationship Id="rId410" Type="http://schemas.openxmlformats.org/officeDocument/2006/relationships/hyperlink" Target="https://flagsapi.com/LK/flat/64.png" TargetMode="External"/><Relationship Id="rId452" Type="http://schemas.openxmlformats.org/officeDocument/2006/relationships/hyperlink" Target="https://flagsapi.com/UG/flat/64.png" TargetMode="External"/><Relationship Id="rId105" Type="http://schemas.openxmlformats.org/officeDocument/2006/relationships/hyperlink" Target="https://flagsapi.com/CU/flat/64.png" TargetMode="External"/><Relationship Id="rId147" Type="http://schemas.openxmlformats.org/officeDocument/2006/relationships/hyperlink" Target="https://flagsapi.com/FR/flat/64.png" TargetMode="External"/><Relationship Id="rId312" Type="http://schemas.openxmlformats.org/officeDocument/2006/relationships/hyperlink" Target="https://flagsapi.com/NF/flat/64.png" TargetMode="External"/><Relationship Id="rId354" Type="http://schemas.openxmlformats.org/officeDocument/2006/relationships/hyperlink" Target="https://flagsapi.com/RO/flat/64.png" TargetMode="External"/><Relationship Id="rId51" Type="http://schemas.openxmlformats.org/officeDocument/2006/relationships/hyperlink" Target="https://flagsapi.com/BO/flat/64.png" TargetMode="External"/><Relationship Id="rId93" Type="http://schemas.openxmlformats.org/officeDocument/2006/relationships/hyperlink" Target="https://flagsapi.com/CO/flat/64.png" TargetMode="External"/><Relationship Id="rId189" Type="http://schemas.openxmlformats.org/officeDocument/2006/relationships/hyperlink" Target="https://flagsapi.com/HK/flat/64.png" TargetMode="External"/><Relationship Id="rId396" Type="http://schemas.openxmlformats.org/officeDocument/2006/relationships/hyperlink" Target="https://flagsapi.com/SI/flat/64.png" TargetMode="External"/><Relationship Id="rId214" Type="http://schemas.openxmlformats.org/officeDocument/2006/relationships/image" Target="../media/image107.png"/><Relationship Id="rId256" Type="http://schemas.openxmlformats.org/officeDocument/2006/relationships/image" Target="../media/image128.png"/><Relationship Id="rId298" Type="http://schemas.openxmlformats.org/officeDocument/2006/relationships/hyperlink" Target="https://flagsapi.com/NL/flat/64.png" TargetMode="External"/><Relationship Id="rId421" Type="http://schemas.openxmlformats.org/officeDocument/2006/relationships/image" Target="../media/image210.png"/><Relationship Id="rId463" Type="http://schemas.openxmlformats.org/officeDocument/2006/relationships/image" Target="../media/image231.png"/><Relationship Id="rId116" Type="http://schemas.openxmlformats.org/officeDocument/2006/relationships/image" Target="../media/image58.png"/><Relationship Id="rId137" Type="http://schemas.openxmlformats.org/officeDocument/2006/relationships/hyperlink" Target="https://flagsapi.com/ET/flat/64.png" TargetMode="External"/><Relationship Id="rId158" Type="http://schemas.openxmlformats.org/officeDocument/2006/relationships/image" Target="../media/image79.png"/><Relationship Id="rId302" Type="http://schemas.openxmlformats.org/officeDocument/2006/relationships/hyperlink" Target="https://flagsapi.com/NZ/flat/64.png" TargetMode="External"/><Relationship Id="rId323" Type="http://schemas.openxmlformats.org/officeDocument/2006/relationships/image" Target="../media/image161.png"/><Relationship Id="rId344" Type="http://schemas.openxmlformats.org/officeDocument/2006/relationships/hyperlink" Target="https://flagsapi.com/PL/flat/64.png" TargetMode="External"/><Relationship Id="rId20" Type="http://schemas.openxmlformats.org/officeDocument/2006/relationships/image" Target="../media/image10.png"/><Relationship Id="rId41" Type="http://schemas.openxmlformats.org/officeDocument/2006/relationships/hyperlink" Target="https://flagsapi.com/BE/flat/64.png" TargetMode="External"/><Relationship Id="rId62" Type="http://schemas.openxmlformats.org/officeDocument/2006/relationships/image" Target="../media/image31.png"/><Relationship Id="rId83" Type="http://schemas.openxmlformats.org/officeDocument/2006/relationships/hyperlink" Target="https://flagsapi.com/TD/flat/64.png" TargetMode="External"/><Relationship Id="rId179" Type="http://schemas.openxmlformats.org/officeDocument/2006/relationships/hyperlink" Target="https://flagsapi.com/GN/flat/64.png" TargetMode="External"/><Relationship Id="rId365" Type="http://schemas.openxmlformats.org/officeDocument/2006/relationships/image" Target="../media/image182.png"/><Relationship Id="rId386" Type="http://schemas.openxmlformats.org/officeDocument/2006/relationships/hyperlink" Target="https://flagsapi.com/SC/flat/64.png" TargetMode="External"/><Relationship Id="rId190" Type="http://schemas.openxmlformats.org/officeDocument/2006/relationships/image" Target="../media/image95.png"/><Relationship Id="rId204" Type="http://schemas.openxmlformats.org/officeDocument/2006/relationships/image" Target="../media/image102.png"/><Relationship Id="rId225" Type="http://schemas.openxmlformats.org/officeDocument/2006/relationships/hyperlink" Target="https://flagsapi.com/KI/flat/64.png" TargetMode="External"/><Relationship Id="rId246" Type="http://schemas.openxmlformats.org/officeDocument/2006/relationships/image" Target="../media/image123.png"/><Relationship Id="rId267" Type="http://schemas.openxmlformats.org/officeDocument/2006/relationships/hyperlink" Target="https://flagsapi.com/MR/flat/64.png" TargetMode="External"/><Relationship Id="rId288" Type="http://schemas.openxmlformats.org/officeDocument/2006/relationships/hyperlink" Target="https://flagsapi.com/MZ/flat/64.png" TargetMode="External"/><Relationship Id="rId411" Type="http://schemas.openxmlformats.org/officeDocument/2006/relationships/image" Target="../media/image205.png"/><Relationship Id="rId432" Type="http://schemas.openxmlformats.org/officeDocument/2006/relationships/hyperlink" Target="https://flagsapi.com/TL/flat/64.png" TargetMode="External"/><Relationship Id="rId453" Type="http://schemas.openxmlformats.org/officeDocument/2006/relationships/image" Target="../media/image226.png"/><Relationship Id="rId474" Type="http://schemas.openxmlformats.org/officeDocument/2006/relationships/hyperlink" Target="https://flagsapi.com/VN/flat/64.png" TargetMode="External"/><Relationship Id="rId106" Type="http://schemas.openxmlformats.org/officeDocument/2006/relationships/image" Target="../media/image53.png"/><Relationship Id="rId127" Type="http://schemas.openxmlformats.org/officeDocument/2006/relationships/hyperlink" Target="https://flagsapi.com/SV/flat/64.png" TargetMode="External"/><Relationship Id="rId313" Type="http://schemas.openxmlformats.org/officeDocument/2006/relationships/image" Target="../media/image156.png"/><Relationship Id="rId10" Type="http://schemas.openxmlformats.org/officeDocument/2006/relationships/image" Target="../media/image5.png"/><Relationship Id="rId31" Type="http://schemas.openxmlformats.org/officeDocument/2006/relationships/hyperlink" Target="https://flagsapi.com/BS/flat/64.png" TargetMode="External"/><Relationship Id="rId52" Type="http://schemas.openxmlformats.org/officeDocument/2006/relationships/image" Target="../media/image26.png"/><Relationship Id="rId73" Type="http://schemas.openxmlformats.org/officeDocument/2006/relationships/hyperlink" Target="https://flagsapi.com/CM/flat/64.png" TargetMode="External"/><Relationship Id="rId94" Type="http://schemas.openxmlformats.org/officeDocument/2006/relationships/image" Target="../media/image47.png"/><Relationship Id="rId148" Type="http://schemas.openxmlformats.org/officeDocument/2006/relationships/image" Target="../media/image74.png"/><Relationship Id="rId169" Type="http://schemas.openxmlformats.org/officeDocument/2006/relationships/hyperlink" Target="https://flagsapi.com/GD/flat/64.png" TargetMode="External"/><Relationship Id="rId334" Type="http://schemas.openxmlformats.org/officeDocument/2006/relationships/hyperlink" Target="https://flagsapi.com/PG/flat/64.png" TargetMode="External"/><Relationship Id="rId355" Type="http://schemas.openxmlformats.org/officeDocument/2006/relationships/image" Target="../media/image177.png"/><Relationship Id="rId376" Type="http://schemas.openxmlformats.org/officeDocument/2006/relationships/hyperlink" Target="https://flagsapi.com/SM/flat/64.png" TargetMode="External"/><Relationship Id="rId397" Type="http://schemas.openxmlformats.org/officeDocument/2006/relationships/image" Target="../media/image198.png"/><Relationship Id="rId4" Type="http://schemas.openxmlformats.org/officeDocument/2006/relationships/image" Target="../media/image2.png"/><Relationship Id="rId180" Type="http://schemas.openxmlformats.org/officeDocument/2006/relationships/image" Target="../media/image90.png"/><Relationship Id="rId215" Type="http://schemas.openxmlformats.org/officeDocument/2006/relationships/hyperlink" Target="https://flagsapi.com/JP/flat/64.png" TargetMode="External"/><Relationship Id="rId236" Type="http://schemas.openxmlformats.org/officeDocument/2006/relationships/image" Target="../media/image118.png"/><Relationship Id="rId257" Type="http://schemas.openxmlformats.org/officeDocument/2006/relationships/hyperlink" Target="https://flagsapi.com/MV/flat/64.png" TargetMode="External"/><Relationship Id="rId278" Type="http://schemas.openxmlformats.org/officeDocument/2006/relationships/image" Target="../media/image139.png"/><Relationship Id="rId401" Type="http://schemas.openxmlformats.org/officeDocument/2006/relationships/image" Target="../media/image200.png"/><Relationship Id="rId422" Type="http://schemas.openxmlformats.org/officeDocument/2006/relationships/hyperlink" Target="https://flagsapi.com/SY/flat/64.png" TargetMode="External"/><Relationship Id="rId443" Type="http://schemas.openxmlformats.org/officeDocument/2006/relationships/image" Target="../media/image221.png"/><Relationship Id="rId464" Type="http://schemas.openxmlformats.org/officeDocument/2006/relationships/hyperlink" Target="https://flagsapi.com/UY/flat/64.png" TargetMode="External"/><Relationship Id="rId303" Type="http://schemas.openxmlformats.org/officeDocument/2006/relationships/image" Target="../media/image151.png"/><Relationship Id="rId485" Type="http://schemas.openxmlformats.org/officeDocument/2006/relationships/image" Target="../media/image242.png"/><Relationship Id="rId42" Type="http://schemas.openxmlformats.org/officeDocument/2006/relationships/image" Target="../media/image21.png"/><Relationship Id="rId84" Type="http://schemas.openxmlformats.org/officeDocument/2006/relationships/image" Target="../media/image42.png"/><Relationship Id="rId138" Type="http://schemas.openxmlformats.org/officeDocument/2006/relationships/image" Target="../media/image69.png"/><Relationship Id="rId345" Type="http://schemas.openxmlformats.org/officeDocument/2006/relationships/image" Target="../media/image172.png"/><Relationship Id="rId387" Type="http://schemas.openxmlformats.org/officeDocument/2006/relationships/image" Target="../media/image193.png"/><Relationship Id="rId191" Type="http://schemas.openxmlformats.org/officeDocument/2006/relationships/hyperlink" Target="https://flagsapi.com/HU/flat/64.png" TargetMode="External"/><Relationship Id="rId205" Type="http://schemas.openxmlformats.org/officeDocument/2006/relationships/hyperlink" Target="https://flagsapi.com/IM/flat/64.png" TargetMode="External"/><Relationship Id="rId247" Type="http://schemas.openxmlformats.org/officeDocument/2006/relationships/hyperlink" Target="https://flagsapi.com/LU/flat/64.png" TargetMode="External"/><Relationship Id="rId412" Type="http://schemas.openxmlformats.org/officeDocument/2006/relationships/hyperlink" Target="https://flagsapi.com/SD/flat/64.png" TargetMode="External"/><Relationship Id="rId107" Type="http://schemas.openxmlformats.org/officeDocument/2006/relationships/hyperlink" Target="https://flagsapi.com/CW/flat/64.png" TargetMode="External"/><Relationship Id="rId289" Type="http://schemas.openxmlformats.org/officeDocument/2006/relationships/image" Target="../media/image144.png"/><Relationship Id="rId454" Type="http://schemas.openxmlformats.org/officeDocument/2006/relationships/hyperlink" Target="https://flagsapi.com/UA/flat/64.png" TargetMode="External"/><Relationship Id="rId11" Type="http://schemas.openxmlformats.org/officeDocument/2006/relationships/hyperlink" Target="https://flagsapi.com/AO/flat/64.png" TargetMode="External"/><Relationship Id="rId53" Type="http://schemas.openxmlformats.org/officeDocument/2006/relationships/hyperlink" Target="https://flagsapi.com/BA/flat/64.png" TargetMode="External"/><Relationship Id="rId149" Type="http://schemas.openxmlformats.org/officeDocument/2006/relationships/hyperlink" Target="https://thumb.wikimedia.org/wikipedia/commons/thumb/2/29/Flag_of_French_Guiana.svg/1280px-Flag_of_French_Guiana.svg.png" TargetMode="External"/><Relationship Id="rId314" Type="http://schemas.openxmlformats.org/officeDocument/2006/relationships/hyperlink" Target="https://flagsapi.com/KP/flat/64.png" TargetMode="External"/><Relationship Id="rId356" Type="http://schemas.openxmlformats.org/officeDocument/2006/relationships/hyperlink" Target="https://flagsapi.com/RU/flat/64.png" TargetMode="External"/><Relationship Id="rId398" Type="http://schemas.openxmlformats.org/officeDocument/2006/relationships/hyperlink" Target="https://flagsapi.com/SB/flat/64.png" TargetMode="External"/><Relationship Id="rId95" Type="http://schemas.openxmlformats.org/officeDocument/2006/relationships/hyperlink" Target="https://flagsapi.com/KM/flat/64.png" TargetMode="External"/><Relationship Id="rId160" Type="http://schemas.openxmlformats.org/officeDocument/2006/relationships/image" Target="../media/image80.png"/><Relationship Id="rId216" Type="http://schemas.openxmlformats.org/officeDocument/2006/relationships/image" Target="../media/image108.png"/><Relationship Id="rId423" Type="http://schemas.openxmlformats.org/officeDocument/2006/relationships/image" Target="../media/image211.png"/><Relationship Id="rId258" Type="http://schemas.openxmlformats.org/officeDocument/2006/relationships/image" Target="../media/image129.png"/><Relationship Id="rId465" Type="http://schemas.openxmlformats.org/officeDocument/2006/relationships/image" Target="../media/image232.png"/><Relationship Id="rId22" Type="http://schemas.openxmlformats.org/officeDocument/2006/relationships/image" Target="../media/image11.png"/><Relationship Id="rId64" Type="http://schemas.openxmlformats.org/officeDocument/2006/relationships/image" Target="../media/image32.png"/><Relationship Id="rId118" Type="http://schemas.openxmlformats.org/officeDocument/2006/relationships/image" Target="../media/image59.png"/><Relationship Id="rId325" Type="http://schemas.openxmlformats.org/officeDocument/2006/relationships/image" Target="../media/image162.png"/><Relationship Id="rId367" Type="http://schemas.openxmlformats.org/officeDocument/2006/relationships/image" Target="../media/image183.png"/><Relationship Id="rId171" Type="http://schemas.openxmlformats.org/officeDocument/2006/relationships/hyperlink" Target="https://thumb.wikimedia.org/wikipedia/commons/thumb/c/c3/Flag_of_France.svg/1280px-Flag_of_France.svg.png" TargetMode="External"/><Relationship Id="rId227" Type="http://schemas.openxmlformats.org/officeDocument/2006/relationships/hyperlink" Target="https://flagsapi.com/KW/flat/64.png" TargetMode="External"/><Relationship Id="rId269" Type="http://schemas.openxmlformats.org/officeDocument/2006/relationships/hyperlink" Target="https://flagsapi.com/MU/flat/64.png" TargetMode="External"/><Relationship Id="rId434" Type="http://schemas.openxmlformats.org/officeDocument/2006/relationships/hyperlink" Target="https://flagsapi.com/TG/flat/64.png" TargetMode="External"/><Relationship Id="rId476" Type="http://schemas.openxmlformats.org/officeDocument/2006/relationships/hyperlink" Target="https://flagsapi.com/WF/flat/64.png" TargetMode="External"/><Relationship Id="rId33" Type="http://schemas.openxmlformats.org/officeDocument/2006/relationships/hyperlink" Target="https://flagsapi.com/BH/flat/64.png" TargetMode="External"/><Relationship Id="rId129" Type="http://schemas.openxmlformats.org/officeDocument/2006/relationships/hyperlink" Target="https://flagsapi.com/GQ/flat/64.png" TargetMode="External"/><Relationship Id="rId280" Type="http://schemas.openxmlformats.org/officeDocument/2006/relationships/hyperlink" Target="https://flagsapi.com/MN/flat/64.png" TargetMode="External"/><Relationship Id="rId336" Type="http://schemas.openxmlformats.org/officeDocument/2006/relationships/hyperlink" Target="https://flagsapi.com/PY/flat/64.png" TargetMode="External"/><Relationship Id="rId75" Type="http://schemas.openxmlformats.org/officeDocument/2006/relationships/hyperlink" Target="https://flagsapi.com/CA/flat/64.png" TargetMode="External"/><Relationship Id="rId140" Type="http://schemas.openxmlformats.org/officeDocument/2006/relationships/image" Target="../media/image70.png"/><Relationship Id="rId182" Type="http://schemas.openxmlformats.org/officeDocument/2006/relationships/image" Target="../media/image91.png"/><Relationship Id="rId378" Type="http://schemas.openxmlformats.org/officeDocument/2006/relationships/hyperlink" Target="https://flagsapi.com/ST/flat/64.png" TargetMode="External"/><Relationship Id="rId403" Type="http://schemas.openxmlformats.org/officeDocument/2006/relationships/image" Target="../media/image201.png"/><Relationship Id="rId6" Type="http://schemas.openxmlformats.org/officeDocument/2006/relationships/image" Target="../media/image3.png"/><Relationship Id="rId238" Type="http://schemas.openxmlformats.org/officeDocument/2006/relationships/image" Target="../media/image119.png"/><Relationship Id="rId445" Type="http://schemas.openxmlformats.org/officeDocument/2006/relationships/image" Target="../media/image222.png"/><Relationship Id="rId291" Type="http://schemas.openxmlformats.org/officeDocument/2006/relationships/image" Target="../media/image145.png"/><Relationship Id="rId305" Type="http://schemas.openxmlformats.org/officeDocument/2006/relationships/image" Target="../media/image152.png"/><Relationship Id="rId347" Type="http://schemas.openxmlformats.org/officeDocument/2006/relationships/image" Target="../media/image173.png"/><Relationship Id="rId44" Type="http://schemas.openxmlformats.org/officeDocument/2006/relationships/image" Target="../media/image22.png"/><Relationship Id="rId86" Type="http://schemas.openxmlformats.org/officeDocument/2006/relationships/image" Target="../media/image43.png"/><Relationship Id="rId151" Type="http://schemas.openxmlformats.org/officeDocument/2006/relationships/hyperlink" Target="https://flagsapi.com/PF/flat/64.png" TargetMode="External"/><Relationship Id="rId389" Type="http://schemas.openxmlformats.org/officeDocument/2006/relationships/image" Target="../media/image194.png"/><Relationship Id="rId193" Type="http://schemas.openxmlformats.org/officeDocument/2006/relationships/hyperlink" Target="https://flagsapi.com/IS/flat/64.png" TargetMode="External"/><Relationship Id="rId207" Type="http://schemas.openxmlformats.org/officeDocument/2006/relationships/hyperlink" Target="https://flagsapi.com/IL/flat/64.png" TargetMode="External"/><Relationship Id="rId249" Type="http://schemas.openxmlformats.org/officeDocument/2006/relationships/hyperlink" Target="https://flagsapi.com/MO/flat/64.png" TargetMode="External"/><Relationship Id="rId414" Type="http://schemas.openxmlformats.org/officeDocument/2006/relationships/hyperlink" Target="https://flagsapi.com/SR/flat/64.png" TargetMode="External"/><Relationship Id="rId456" Type="http://schemas.openxmlformats.org/officeDocument/2006/relationships/hyperlink" Target="https://flagsapi.com/AE/flat/64.png" TargetMode="External"/><Relationship Id="rId13" Type="http://schemas.openxmlformats.org/officeDocument/2006/relationships/hyperlink" Target="https://flagsapi.com/AI/flat/64.png" TargetMode="External"/><Relationship Id="rId109" Type="http://schemas.openxmlformats.org/officeDocument/2006/relationships/hyperlink" Target="https://flagsapi.com/CY/flat/64.png" TargetMode="External"/><Relationship Id="rId260" Type="http://schemas.openxmlformats.org/officeDocument/2006/relationships/image" Target="../media/image130.png"/><Relationship Id="rId316" Type="http://schemas.openxmlformats.org/officeDocument/2006/relationships/hyperlink" Target="https://flagsapi.com/MK/flat/64.png" TargetMode="External"/><Relationship Id="rId55" Type="http://schemas.openxmlformats.org/officeDocument/2006/relationships/hyperlink" Target="https://flagsapi.com/BW/flat/64.png" TargetMode="External"/><Relationship Id="rId97" Type="http://schemas.openxmlformats.org/officeDocument/2006/relationships/hyperlink" Target="https://flagsapi.com/CG/flat/64.png" TargetMode="External"/><Relationship Id="rId120" Type="http://schemas.openxmlformats.org/officeDocument/2006/relationships/image" Target="../media/image60.png"/><Relationship Id="rId358" Type="http://schemas.openxmlformats.org/officeDocument/2006/relationships/hyperlink" Target="https://flagsapi.com/RW/flat/64.png" TargetMode="External"/><Relationship Id="rId162" Type="http://schemas.openxmlformats.org/officeDocument/2006/relationships/image" Target="../media/image81.png"/><Relationship Id="rId218" Type="http://schemas.openxmlformats.org/officeDocument/2006/relationships/image" Target="../media/image109.png"/><Relationship Id="rId425" Type="http://schemas.openxmlformats.org/officeDocument/2006/relationships/image" Target="../media/image212.png"/><Relationship Id="rId467" Type="http://schemas.openxmlformats.org/officeDocument/2006/relationships/image" Target="../media/image233.png"/><Relationship Id="rId271" Type="http://schemas.openxmlformats.org/officeDocument/2006/relationships/hyperlink" Target="https://flagsapi.com/YT/flat/64.png" TargetMode="External"/><Relationship Id="rId24" Type="http://schemas.openxmlformats.org/officeDocument/2006/relationships/image" Target="../media/image12.png"/><Relationship Id="rId66" Type="http://schemas.openxmlformats.org/officeDocument/2006/relationships/image" Target="../media/image33.png"/><Relationship Id="rId131" Type="http://schemas.openxmlformats.org/officeDocument/2006/relationships/hyperlink" Target="https://flagsapi.com/ER/flat/64.png" TargetMode="External"/><Relationship Id="rId327" Type="http://schemas.openxmlformats.org/officeDocument/2006/relationships/image" Target="../media/image163.png"/><Relationship Id="rId369" Type="http://schemas.openxmlformats.org/officeDocument/2006/relationships/image" Target="../media/image184.png"/><Relationship Id="rId173" Type="http://schemas.openxmlformats.org/officeDocument/2006/relationships/hyperlink" Target="https://flagsapi.com/GU/flat/64.png" TargetMode="External"/><Relationship Id="rId229" Type="http://schemas.openxmlformats.org/officeDocument/2006/relationships/hyperlink" Target="https://flagsapi.com/KG/flat/64.png" TargetMode="External"/><Relationship Id="rId380" Type="http://schemas.openxmlformats.org/officeDocument/2006/relationships/hyperlink" Target="https://flagsapi.com/SA/flat/64.png" TargetMode="External"/><Relationship Id="rId436" Type="http://schemas.openxmlformats.org/officeDocument/2006/relationships/hyperlink" Target="https://flagsapi.com/TK/flat/64.png" TargetMode="External"/><Relationship Id="rId240" Type="http://schemas.openxmlformats.org/officeDocument/2006/relationships/image" Target="../media/image120.png"/><Relationship Id="rId478" Type="http://schemas.openxmlformats.org/officeDocument/2006/relationships/hyperlink" Target="https://flagsapi.com/EH/flat/64.png" TargetMode="External"/><Relationship Id="rId35" Type="http://schemas.openxmlformats.org/officeDocument/2006/relationships/hyperlink" Target="https://flagsapi.com/BD/flat/64.png" TargetMode="External"/><Relationship Id="rId77" Type="http://schemas.openxmlformats.org/officeDocument/2006/relationships/hyperlink" Target="https://thumb.wikimedia.org/wikipedia/commons/thumb/2/20/Flag_of_the_Netherlands.svg/1280px-Flag_of_the_Netherlands.svg.png" TargetMode="External"/><Relationship Id="rId100" Type="http://schemas.openxmlformats.org/officeDocument/2006/relationships/image" Target="../media/image50.png"/><Relationship Id="rId282" Type="http://schemas.openxmlformats.org/officeDocument/2006/relationships/hyperlink" Target="https://flagsapi.com/ME/flat/64.png" TargetMode="External"/><Relationship Id="rId338" Type="http://schemas.openxmlformats.org/officeDocument/2006/relationships/hyperlink" Target="https://flagsapi.com/PE/flat/64.png" TargetMode="External"/><Relationship Id="rId8" Type="http://schemas.openxmlformats.org/officeDocument/2006/relationships/image" Target="../media/image4.png"/><Relationship Id="rId142" Type="http://schemas.openxmlformats.org/officeDocument/2006/relationships/image" Target="../media/image71.png"/><Relationship Id="rId184" Type="http://schemas.openxmlformats.org/officeDocument/2006/relationships/image" Target="../media/image92.png"/><Relationship Id="rId391" Type="http://schemas.openxmlformats.org/officeDocument/2006/relationships/image" Target="../media/image195.png"/><Relationship Id="rId405" Type="http://schemas.openxmlformats.org/officeDocument/2006/relationships/image" Target="../media/image202.png"/><Relationship Id="rId447" Type="http://schemas.openxmlformats.org/officeDocument/2006/relationships/image" Target="../media/image223.png"/><Relationship Id="rId251" Type="http://schemas.openxmlformats.org/officeDocument/2006/relationships/hyperlink" Target="https://flagsapi.com/MG/flat/64.png" TargetMode="External"/><Relationship Id="rId46" Type="http://schemas.openxmlformats.org/officeDocument/2006/relationships/image" Target="../media/image23.png"/><Relationship Id="rId293" Type="http://schemas.openxmlformats.org/officeDocument/2006/relationships/image" Target="../media/image146.png"/><Relationship Id="rId307" Type="http://schemas.openxmlformats.org/officeDocument/2006/relationships/image" Target="../media/image153.png"/><Relationship Id="rId349" Type="http://schemas.openxmlformats.org/officeDocument/2006/relationships/image" Target="../media/image174.png"/><Relationship Id="rId88" Type="http://schemas.openxmlformats.org/officeDocument/2006/relationships/image" Target="../media/image44.png"/><Relationship Id="rId111" Type="http://schemas.openxmlformats.org/officeDocument/2006/relationships/hyperlink" Target="https://flagsapi.com/CZ/flat/64.png" TargetMode="External"/><Relationship Id="rId153" Type="http://schemas.openxmlformats.org/officeDocument/2006/relationships/hyperlink" Target="https://flagsapi.com/GA/flat/64.png" TargetMode="External"/><Relationship Id="rId195" Type="http://schemas.openxmlformats.org/officeDocument/2006/relationships/hyperlink" Target="https://flagsapi.com/IN/flat/64.png" TargetMode="External"/><Relationship Id="rId209" Type="http://schemas.openxmlformats.org/officeDocument/2006/relationships/hyperlink" Target="https://flagsapi.com/IT/flat/64.png" TargetMode="External"/><Relationship Id="rId360" Type="http://schemas.openxmlformats.org/officeDocument/2006/relationships/hyperlink" Target="https://thumb.wikimedia.org/wikipedia/commons/thumb/b/b4/Flag_of_Saint_Barth%C3%A9lemy_%28local%29.svg/1280px-Flag_of_Saint_Barth%C3%A9lemy_%28local%29.svg.png" TargetMode="External"/><Relationship Id="rId416" Type="http://schemas.openxmlformats.org/officeDocument/2006/relationships/hyperlink" Target="https://thumb.wikimedia.org/wikipedia/commons/thumb/d/d9/Flag_of_Norway.svg/1280px-Flag_of_Norway.svg.png" TargetMode="External"/><Relationship Id="rId220" Type="http://schemas.openxmlformats.org/officeDocument/2006/relationships/image" Target="../media/image110.png"/><Relationship Id="rId458" Type="http://schemas.openxmlformats.org/officeDocument/2006/relationships/hyperlink" Target="https://flagsapi.com/GB/flat/64.png" TargetMode="External"/><Relationship Id="rId15" Type="http://schemas.openxmlformats.org/officeDocument/2006/relationships/hyperlink" Target="https://flagsapi.com/AQ/flat/64.png" TargetMode="External"/><Relationship Id="rId57" Type="http://schemas.openxmlformats.org/officeDocument/2006/relationships/hyperlink" Target="https://flagsapi.com/BR/flat/64.png" TargetMode="External"/><Relationship Id="rId262" Type="http://schemas.openxmlformats.org/officeDocument/2006/relationships/image" Target="../media/image131.png"/><Relationship Id="rId318" Type="http://schemas.openxmlformats.org/officeDocument/2006/relationships/hyperlink" Target="https://upload.wikimedia.org/wikipedia/commons/thumb/1/1e/Flag_of_the_Turkish_Republic_of_Northern_Cyprus.svg/1280px-Flag_of_the_Turkish_Republic_of_Northern_Cyprus.svg.png" TargetMode="External"/><Relationship Id="rId99" Type="http://schemas.openxmlformats.org/officeDocument/2006/relationships/hyperlink" Target="https://flagsapi.com/CK/flat/64.png" TargetMode="External"/><Relationship Id="rId122" Type="http://schemas.openxmlformats.org/officeDocument/2006/relationships/image" Target="../media/image61.png"/><Relationship Id="rId164" Type="http://schemas.openxmlformats.org/officeDocument/2006/relationships/image" Target="../media/image82.png"/><Relationship Id="rId371" Type="http://schemas.openxmlformats.org/officeDocument/2006/relationships/image" Target="../media/image185.png"/><Relationship Id="rId427" Type="http://schemas.openxmlformats.org/officeDocument/2006/relationships/image" Target="../media/image213.png"/><Relationship Id="rId469" Type="http://schemas.openxmlformats.org/officeDocument/2006/relationships/image" Target="../media/image234.png"/><Relationship Id="rId26" Type="http://schemas.openxmlformats.org/officeDocument/2006/relationships/image" Target="../media/image13.png"/><Relationship Id="rId231" Type="http://schemas.openxmlformats.org/officeDocument/2006/relationships/hyperlink" Target="https://flagsapi.com/LA/flat/64.png" TargetMode="External"/><Relationship Id="rId273" Type="http://schemas.openxmlformats.org/officeDocument/2006/relationships/hyperlink" Target="https://flagsapi.com/MX/flat/64.png" TargetMode="External"/><Relationship Id="rId329" Type="http://schemas.openxmlformats.org/officeDocument/2006/relationships/image" Target="../media/image164.png"/><Relationship Id="rId480" Type="http://schemas.openxmlformats.org/officeDocument/2006/relationships/hyperlink" Target="https://flagsapi.com/YE/flat/64.png" TargetMode="External"/><Relationship Id="rId68" Type="http://schemas.openxmlformats.org/officeDocument/2006/relationships/image" Target="../media/image34.png"/><Relationship Id="rId133" Type="http://schemas.openxmlformats.org/officeDocument/2006/relationships/hyperlink" Target="https://flagsapi.com/EE/flat/64.png" TargetMode="External"/><Relationship Id="rId175" Type="http://schemas.openxmlformats.org/officeDocument/2006/relationships/hyperlink" Target="https://flagsapi.com/GT/flat/64.png" TargetMode="External"/><Relationship Id="rId340" Type="http://schemas.openxmlformats.org/officeDocument/2006/relationships/hyperlink" Target="https://flagsapi.com/PH/flat/64.png" TargetMode="External"/><Relationship Id="rId200" Type="http://schemas.openxmlformats.org/officeDocument/2006/relationships/image" Target="../media/image100.png"/><Relationship Id="rId382" Type="http://schemas.openxmlformats.org/officeDocument/2006/relationships/hyperlink" Target="https://flagsapi.com/SN/flat/64.png" TargetMode="External"/><Relationship Id="rId438" Type="http://schemas.openxmlformats.org/officeDocument/2006/relationships/hyperlink" Target="https://flagsapi.com/TO/flat/64.png" TargetMode="External"/><Relationship Id="rId242" Type="http://schemas.openxmlformats.org/officeDocument/2006/relationships/image" Target="../media/image121.png"/><Relationship Id="rId284" Type="http://schemas.openxmlformats.org/officeDocument/2006/relationships/hyperlink" Target="https://flagsapi.com/MS/flat/64.png" TargetMode="External"/><Relationship Id="rId37" Type="http://schemas.openxmlformats.org/officeDocument/2006/relationships/hyperlink" Target="https://flagsapi.com/BB/flat/64.png" TargetMode="External"/><Relationship Id="rId79" Type="http://schemas.openxmlformats.org/officeDocument/2006/relationships/hyperlink" Target="https://flagsapi.com/KY/flat/64.png" TargetMode="External"/><Relationship Id="rId102" Type="http://schemas.openxmlformats.org/officeDocument/2006/relationships/image" Target="../media/image51.png"/><Relationship Id="rId144" Type="http://schemas.openxmlformats.org/officeDocument/2006/relationships/image" Target="../media/image72.png"/><Relationship Id="rId90" Type="http://schemas.openxmlformats.org/officeDocument/2006/relationships/image" Target="../media/image45.png"/><Relationship Id="rId186" Type="http://schemas.openxmlformats.org/officeDocument/2006/relationships/image" Target="../media/image93.png"/><Relationship Id="rId351" Type="http://schemas.openxmlformats.org/officeDocument/2006/relationships/image" Target="../media/image175.png"/><Relationship Id="rId393" Type="http://schemas.openxmlformats.org/officeDocument/2006/relationships/image" Target="../media/image196.png"/><Relationship Id="rId407" Type="http://schemas.openxmlformats.org/officeDocument/2006/relationships/image" Target="../media/image203.png"/><Relationship Id="rId449" Type="http://schemas.openxmlformats.org/officeDocument/2006/relationships/image" Target="../media/image224.png"/><Relationship Id="rId211" Type="http://schemas.openxmlformats.org/officeDocument/2006/relationships/hyperlink" Target="https://flagsapi.com/CI/flat/64.png" TargetMode="External"/><Relationship Id="rId253" Type="http://schemas.openxmlformats.org/officeDocument/2006/relationships/hyperlink" Target="https://flagsapi.com/MW/flat/64.png" TargetMode="External"/><Relationship Id="rId295" Type="http://schemas.openxmlformats.org/officeDocument/2006/relationships/image" Target="../media/image147.png"/><Relationship Id="rId309" Type="http://schemas.openxmlformats.org/officeDocument/2006/relationships/image" Target="../media/image154.png"/><Relationship Id="rId460" Type="http://schemas.openxmlformats.org/officeDocument/2006/relationships/hyperlink" Target="https://flagsapi.com/US/flat/64.png" TargetMode="External"/><Relationship Id="rId48" Type="http://schemas.openxmlformats.org/officeDocument/2006/relationships/image" Target="../media/image24.png"/><Relationship Id="rId113" Type="http://schemas.openxmlformats.org/officeDocument/2006/relationships/hyperlink" Target="https://flagsapi.com/DK/flat/64.png" TargetMode="External"/><Relationship Id="rId320" Type="http://schemas.openxmlformats.org/officeDocument/2006/relationships/hyperlink" Target="https://flagsapi.com/MP/flat/64.png" TargetMode="External"/><Relationship Id="rId155" Type="http://schemas.openxmlformats.org/officeDocument/2006/relationships/hyperlink" Target="https://flagsapi.com/GM/flat/64.png" TargetMode="External"/><Relationship Id="rId197" Type="http://schemas.openxmlformats.org/officeDocument/2006/relationships/hyperlink" Target="https://flagsapi.com/ID/flat/64.png" TargetMode="External"/><Relationship Id="rId362" Type="http://schemas.openxmlformats.org/officeDocument/2006/relationships/hyperlink" Target="https://flagsapi.com/SH/flat/64.png" TargetMode="External"/><Relationship Id="rId418" Type="http://schemas.openxmlformats.org/officeDocument/2006/relationships/hyperlink" Target="https://flagsapi.com/SE/flat/64.png" TargetMode="External"/><Relationship Id="rId222" Type="http://schemas.openxmlformats.org/officeDocument/2006/relationships/image" Target="../media/image111.png"/><Relationship Id="rId264" Type="http://schemas.openxmlformats.org/officeDocument/2006/relationships/image" Target="../media/image132.png"/><Relationship Id="rId471" Type="http://schemas.openxmlformats.org/officeDocument/2006/relationships/image" Target="../media/image235.png"/><Relationship Id="rId17" Type="http://schemas.openxmlformats.org/officeDocument/2006/relationships/hyperlink" Target="https://flagsapi.com/AG/flat/64.png" TargetMode="External"/><Relationship Id="rId59" Type="http://schemas.openxmlformats.org/officeDocument/2006/relationships/hyperlink" Target="https://flagsapi.com/VG/flat/64.png" TargetMode="External"/><Relationship Id="rId124" Type="http://schemas.openxmlformats.org/officeDocument/2006/relationships/image" Target="../media/image62.png"/><Relationship Id="rId70" Type="http://schemas.openxmlformats.org/officeDocument/2006/relationships/image" Target="../media/image35.png"/><Relationship Id="rId166" Type="http://schemas.openxmlformats.org/officeDocument/2006/relationships/image" Target="../media/image83.png"/><Relationship Id="rId331" Type="http://schemas.openxmlformats.org/officeDocument/2006/relationships/image" Target="../media/image165.png"/><Relationship Id="rId373" Type="http://schemas.openxmlformats.org/officeDocument/2006/relationships/image" Target="../media/image186.png"/><Relationship Id="rId429" Type="http://schemas.openxmlformats.org/officeDocument/2006/relationships/image" Target="../media/image214.png"/><Relationship Id="rId1" Type="http://schemas.openxmlformats.org/officeDocument/2006/relationships/hyperlink" Target="https://flagsapi.com/AF/flat/64.png" TargetMode="External"/><Relationship Id="rId233" Type="http://schemas.openxmlformats.org/officeDocument/2006/relationships/hyperlink" Target="https://flagsapi.com/LV/flat/64.png" TargetMode="External"/><Relationship Id="rId440" Type="http://schemas.openxmlformats.org/officeDocument/2006/relationships/hyperlink" Target="https://flagsapi.com/TT/flat/64.png" TargetMode="External"/><Relationship Id="rId28" Type="http://schemas.openxmlformats.org/officeDocument/2006/relationships/image" Target="../media/image14.png"/><Relationship Id="rId275" Type="http://schemas.openxmlformats.org/officeDocument/2006/relationships/hyperlink" Target="https://flagsapi.com/FM/flat/64.png" TargetMode="External"/><Relationship Id="rId300" Type="http://schemas.openxmlformats.org/officeDocument/2006/relationships/hyperlink" Target="https://flagsapi.com/NC/flat/64.png" TargetMode="External"/><Relationship Id="rId482" Type="http://schemas.openxmlformats.org/officeDocument/2006/relationships/hyperlink" Target="https://flagsapi.com/ZM/flat/64.png" TargetMode="External"/><Relationship Id="rId81" Type="http://schemas.openxmlformats.org/officeDocument/2006/relationships/hyperlink" Target="https://flagsapi.com/CF/flat/64.png" TargetMode="External"/><Relationship Id="rId135" Type="http://schemas.openxmlformats.org/officeDocument/2006/relationships/hyperlink" Target="https://flagsapi.com/SZ/flat/64.png" TargetMode="External"/><Relationship Id="rId177" Type="http://schemas.openxmlformats.org/officeDocument/2006/relationships/hyperlink" Target="https://flagsapi.com/GG/flat/64.png" TargetMode="External"/><Relationship Id="rId342" Type="http://schemas.openxmlformats.org/officeDocument/2006/relationships/hyperlink" Target="https://flagsapi.com/PN/flat/64.png" TargetMode="External"/><Relationship Id="rId384" Type="http://schemas.openxmlformats.org/officeDocument/2006/relationships/hyperlink" Target="https://flagsapi.com/RS/flat/64.png" TargetMode="External"/><Relationship Id="rId202" Type="http://schemas.openxmlformats.org/officeDocument/2006/relationships/image" Target="../media/image101.png"/><Relationship Id="rId244" Type="http://schemas.openxmlformats.org/officeDocument/2006/relationships/image" Target="../media/image122.png"/><Relationship Id="rId39" Type="http://schemas.openxmlformats.org/officeDocument/2006/relationships/hyperlink" Target="https://flagsapi.com/BY/flat/64.png" TargetMode="External"/><Relationship Id="rId286" Type="http://schemas.openxmlformats.org/officeDocument/2006/relationships/hyperlink" Target="https://flagsapi.com/MA/flat/64.png" TargetMode="External"/><Relationship Id="rId451" Type="http://schemas.openxmlformats.org/officeDocument/2006/relationships/image" Target="../media/image225.png"/><Relationship Id="rId50" Type="http://schemas.openxmlformats.org/officeDocument/2006/relationships/image" Target="../media/image25.png"/><Relationship Id="rId104" Type="http://schemas.openxmlformats.org/officeDocument/2006/relationships/image" Target="../media/image52.png"/><Relationship Id="rId146" Type="http://schemas.openxmlformats.org/officeDocument/2006/relationships/image" Target="../media/image73.png"/><Relationship Id="rId188" Type="http://schemas.openxmlformats.org/officeDocument/2006/relationships/image" Target="../media/image94.png"/><Relationship Id="rId311" Type="http://schemas.openxmlformats.org/officeDocument/2006/relationships/image" Target="../media/image155.png"/><Relationship Id="rId353" Type="http://schemas.openxmlformats.org/officeDocument/2006/relationships/image" Target="../media/image176.png"/><Relationship Id="rId395" Type="http://schemas.openxmlformats.org/officeDocument/2006/relationships/image" Target="../media/image197.png"/><Relationship Id="rId409" Type="http://schemas.openxmlformats.org/officeDocument/2006/relationships/image" Target="../media/image204.png"/><Relationship Id="rId92" Type="http://schemas.openxmlformats.org/officeDocument/2006/relationships/image" Target="../media/image46.png"/><Relationship Id="rId213" Type="http://schemas.openxmlformats.org/officeDocument/2006/relationships/hyperlink" Target="https://flagsapi.com/JM/flat/64.png" TargetMode="External"/><Relationship Id="rId420" Type="http://schemas.openxmlformats.org/officeDocument/2006/relationships/hyperlink" Target="https://flagsapi.com/CH/flat/64.png" TargetMode="External"/><Relationship Id="rId255" Type="http://schemas.openxmlformats.org/officeDocument/2006/relationships/hyperlink" Target="https://flagsapi.com/MY/flat/64.png" TargetMode="External"/><Relationship Id="rId297" Type="http://schemas.openxmlformats.org/officeDocument/2006/relationships/image" Target="../media/image148.png"/><Relationship Id="rId462" Type="http://schemas.openxmlformats.org/officeDocument/2006/relationships/hyperlink" Target="https://flagsapi.com/VI/flat/64.png" TargetMode="External"/><Relationship Id="rId115" Type="http://schemas.openxmlformats.org/officeDocument/2006/relationships/hyperlink" Target="https://flagsapi.com/DJ/flat/64.png" TargetMode="External"/><Relationship Id="rId157" Type="http://schemas.openxmlformats.org/officeDocument/2006/relationships/hyperlink" Target="https://flagsapi.com/GE/flat/64.png" TargetMode="External"/><Relationship Id="rId322" Type="http://schemas.openxmlformats.org/officeDocument/2006/relationships/hyperlink" Target="https://flagsapi.com/NO/flat/64.png" TargetMode="External"/><Relationship Id="rId364" Type="http://schemas.openxmlformats.org/officeDocument/2006/relationships/hyperlink" Target="https://flagsapi.com/KN/flat/64.png" TargetMode="External"/><Relationship Id="rId61" Type="http://schemas.openxmlformats.org/officeDocument/2006/relationships/hyperlink" Target="https://flagsapi.com/BN/flat/64.png" TargetMode="External"/><Relationship Id="rId199" Type="http://schemas.openxmlformats.org/officeDocument/2006/relationships/hyperlink" Target="https://flagsapi.com/IR/flat/64.png" TargetMode="External"/><Relationship Id="rId19" Type="http://schemas.openxmlformats.org/officeDocument/2006/relationships/hyperlink" Target="https://flagsapi.com/AR/flat/64.png" TargetMode="External"/><Relationship Id="rId224" Type="http://schemas.openxmlformats.org/officeDocument/2006/relationships/image" Target="../media/image112.png"/><Relationship Id="rId266" Type="http://schemas.openxmlformats.org/officeDocument/2006/relationships/image" Target="../media/image133.png"/><Relationship Id="rId431" Type="http://schemas.openxmlformats.org/officeDocument/2006/relationships/image" Target="../media/image215.png"/><Relationship Id="rId473" Type="http://schemas.openxmlformats.org/officeDocument/2006/relationships/image" Target="../media/image236.png"/><Relationship Id="rId30" Type="http://schemas.openxmlformats.org/officeDocument/2006/relationships/image" Target="../media/image15.png"/><Relationship Id="rId126" Type="http://schemas.openxmlformats.org/officeDocument/2006/relationships/image" Target="../media/image63.png"/><Relationship Id="rId168" Type="http://schemas.openxmlformats.org/officeDocument/2006/relationships/image" Target="../media/image84.png"/><Relationship Id="rId333" Type="http://schemas.openxmlformats.org/officeDocument/2006/relationships/image" Target="../media/image166.png"/><Relationship Id="rId72" Type="http://schemas.openxmlformats.org/officeDocument/2006/relationships/image" Target="../media/image36.png"/><Relationship Id="rId375" Type="http://schemas.openxmlformats.org/officeDocument/2006/relationships/image" Target="../media/image187.png"/><Relationship Id="rId3" Type="http://schemas.openxmlformats.org/officeDocument/2006/relationships/hyperlink" Target="https://flagsapi.com/AL/flat/64.png" TargetMode="External"/><Relationship Id="rId235" Type="http://schemas.openxmlformats.org/officeDocument/2006/relationships/hyperlink" Target="https://flagsapi.com/LB/flat/64.png" TargetMode="External"/><Relationship Id="rId277" Type="http://schemas.openxmlformats.org/officeDocument/2006/relationships/hyperlink" Target="https://flagsapi.com/MD/flat/64.png" TargetMode="External"/><Relationship Id="rId400" Type="http://schemas.openxmlformats.org/officeDocument/2006/relationships/hyperlink" Target="https://flagsapi.com/SO/flat/64.png" TargetMode="External"/><Relationship Id="rId442" Type="http://schemas.openxmlformats.org/officeDocument/2006/relationships/hyperlink" Target="https://flagsapi.com/TN/flat/64.png" TargetMode="External"/><Relationship Id="rId484" Type="http://schemas.openxmlformats.org/officeDocument/2006/relationships/hyperlink" Target="https://flagsapi.com/ZW/flat/64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62"/>
  </webImageSrd>
  <webImageSrd>
    <address r:id="rId63"/>
    <blip r:id="rId64"/>
  </webImageSrd>
  <webImageSrd>
    <address r:id="rId65"/>
    <blip r:id="rId66"/>
  </webImageSrd>
  <webImageSrd>
    <address r:id="rId67"/>
    <blip r:id="rId68"/>
  </webImageSrd>
  <webImageSrd>
    <address r:id="rId69"/>
    <blip r:id="rId70"/>
  </webImageSrd>
  <webImageSrd>
    <address r:id="rId71"/>
    <blip r:id="rId72"/>
  </webImageSrd>
  <webImageSrd>
    <address r:id="rId73"/>
    <blip r:id="rId74"/>
  </webImageSrd>
  <webImageSrd>
    <address r:id="rId75"/>
    <blip r:id="rId76"/>
  </webImageSrd>
  <webImageSrd>
    <address r:id="rId77"/>
    <blip r:id="rId78"/>
  </webImageSrd>
  <webImageSrd>
    <address r:id="rId79"/>
    <blip r:id="rId80"/>
  </webImageSrd>
  <webImageSrd>
    <address r:id="rId81"/>
    <blip r:id="rId82"/>
  </webImageSrd>
  <webImageSrd>
    <address r:id="rId83"/>
    <blip r:id="rId84"/>
  </webImageSrd>
  <webImageSrd>
    <address r:id="rId85"/>
    <blip r:id="rId86"/>
  </webImageSrd>
  <webImageSrd>
    <address r:id="rId87"/>
    <blip r:id="rId88"/>
  </webImageSrd>
  <webImageSrd>
    <address r:id="rId89"/>
    <blip r:id="rId90"/>
  </webImageSrd>
  <webImageSrd>
    <address r:id="rId91"/>
    <blip r:id="rId92"/>
  </webImageSrd>
  <webImageSrd>
    <address r:id="rId93"/>
    <blip r:id="rId94"/>
  </webImageSrd>
  <webImageSrd>
    <address r:id="rId95"/>
    <blip r:id="rId96"/>
  </webImageSrd>
  <webImageSrd>
    <address r:id="rId97"/>
    <blip r:id="rId98"/>
  </webImageSrd>
  <webImageSrd>
    <address r:id="rId99"/>
    <blip r:id="rId100"/>
  </webImageSrd>
  <webImageSrd>
    <address r:id="rId101"/>
    <blip r:id="rId102"/>
  </webImageSrd>
  <webImageSrd>
    <address r:id="rId103"/>
    <blip r:id="rId104"/>
  </webImageSrd>
  <webImageSrd>
    <address r:id="rId105"/>
    <blip r:id="rId106"/>
  </webImageSrd>
  <webImageSrd>
    <address r:id="rId107"/>
    <blip r:id="rId108"/>
  </webImageSrd>
  <webImageSrd>
    <address r:id="rId109"/>
    <blip r:id="rId110"/>
  </webImageSrd>
  <webImageSrd>
    <address r:id="rId111"/>
    <blip r:id="rId112"/>
  </webImageSrd>
  <webImageSrd>
    <address r:id="rId113"/>
    <blip r:id="rId114"/>
  </webImageSrd>
  <webImageSrd>
    <address r:id="rId115"/>
    <blip r:id="rId116"/>
  </webImageSrd>
  <webImageSrd>
    <address r:id="rId117"/>
    <blip r:id="rId118"/>
  </webImageSrd>
  <webImageSrd>
    <address r:id="rId119"/>
    <blip r:id="rId120"/>
  </webImageSrd>
  <webImageSrd>
    <address r:id="rId121"/>
    <blip r:id="rId122"/>
  </webImageSrd>
  <webImageSrd>
    <address r:id="rId123"/>
    <blip r:id="rId124"/>
  </webImageSrd>
  <webImageSrd>
    <address r:id="rId125"/>
    <blip r:id="rId126"/>
  </webImageSrd>
  <webImageSrd>
    <address r:id="rId127"/>
    <blip r:id="rId128"/>
  </webImageSrd>
  <webImageSrd>
    <address r:id="rId129"/>
    <blip r:id="rId130"/>
  </webImageSrd>
  <webImageSrd>
    <address r:id="rId131"/>
    <blip r:id="rId132"/>
  </webImageSrd>
  <webImageSrd>
    <address r:id="rId133"/>
    <blip r:id="rId134"/>
  </webImageSrd>
  <webImageSrd>
    <address r:id="rId135"/>
    <blip r:id="rId136"/>
  </webImageSrd>
  <webImageSrd>
    <address r:id="rId137"/>
    <blip r:id="rId138"/>
  </webImageSrd>
  <webImageSrd>
    <address r:id="rId139"/>
    <blip r:id="rId140"/>
  </webImageSrd>
  <webImageSrd>
    <address r:id="rId141"/>
    <blip r:id="rId142"/>
  </webImageSrd>
  <webImageSrd>
    <address r:id="rId143"/>
    <blip r:id="rId144"/>
  </webImageSrd>
  <webImageSrd>
    <address r:id="rId145"/>
    <blip r:id="rId146"/>
  </webImageSrd>
  <webImageSrd>
    <address r:id="rId147"/>
    <blip r:id="rId148"/>
  </webImageSrd>
  <webImageSrd>
    <address r:id="rId149"/>
    <blip r:id="rId150"/>
  </webImageSrd>
  <webImageSrd>
    <address r:id="rId151"/>
    <blip r:id="rId152"/>
  </webImageSrd>
  <webImageSrd>
    <address r:id="rId153"/>
    <blip r:id="rId154"/>
  </webImageSrd>
  <webImageSrd>
    <address r:id="rId155"/>
    <blip r:id="rId156"/>
  </webImageSrd>
  <webImageSrd>
    <address r:id="rId157"/>
    <blip r:id="rId158"/>
  </webImageSrd>
  <webImageSrd>
    <address r:id="rId159"/>
    <blip r:id="rId160"/>
  </webImageSrd>
  <webImageSrd>
    <address r:id="rId161"/>
    <blip r:id="rId162"/>
  </webImageSrd>
  <webImageSrd>
    <address r:id="rId163"/>
    <blip r:id="rId164"/>
  </webImageSrd>
  <webImageSrd>
    <address r:id="rId165"/>
    <blip r:id="rId166"/>
  </webImageSrd>
  <webImageSrd>
    <address r:id="rId167"/>
    <blip r:id="rId168"/>
  </webImageSrd>
  <webImageSrd>
    <address r:id="rId169"/>
    <blip r:id="rId170"/>
  </webImageSrd>
  <webImageSrd>
    <address r:id="rId171"/>
    <blip r:id="rId172"/>
  </webImageSrd>
  <webImageSrd>
    <address r:id="rId173"/>
    <blip r:id="rId174"/>
  </webImageSrd>
  <webImageSrd>
    <address r:id="rId175"/>
    <blip r:id="rId176"/>
  </webImageSrd>
  <webImageSrd>
    <address r:id="rId177"/>
    <blip r:id="rId178"/>
  </webImageSrd>
  <webImageSrd>
    <address r:id="rId179"/>
    <blip r:id="rId180"/>
  </webImageSrd>
  <webImageSrd>
    <address r:id="rId181"/>
    <blip r:id="rId182"/>
  </webImageSrd>
  <webImageSrd>
    <address r:id="rId183"/>
    <blip r:id="rId184"/>
  </webImageSrd>
  <webImageSrd>
    <address r:id="rId185"/>
    <blip r:id="rId186"/>
  </webImageSrd>
  <webImageSrd>
    <address r:id="rId187"/>
    <blip r:id="rId188"/>
  </webImageSrd>
  <webImageSrd>
    <address r:id="rId189"/>
    <blip r:id="rId190"/>
  </webImageSrd>
  <webImageSrd>
    <address r:id="rId191"/>
    <blip r:id="rId192"/>
  </webImageSrd>
  <webImageSrd>
    <address r:id="rId193"/>
    <blip r:id="rId194"/>
  </webImageSrd>
  <webImageSrd>
    <address r:id="rId195"/>
    <blip r:id="rId196"/>
  </webImageSrd>
  <webImageSrd>
    <address r:id="rId197"/>
    <blip r:id="rId198"/>
  </webImageSrd>
  <webImageSrd>
    <address r:id="rId199"/>
    <blip r:id="rId200"/>
  </webImageSrd>
  <webImageSrd>
    <address r:id="rId201"/>
    <blip r:id="rId202"/>
  </webImageSrd>
  <webImageSrd>
    <address r:id="rId203"/>
    <blip r:id="rId204"/>
  </webImageSrd>
  <webImageSrd>
    <address r:id="rId205"/>
    <blip r:id="rId206"/>
  </webImageSrd>
  <webImageSrd>
    <address r:id="rId207"/>
    <blip r:id="rId208"/>
  </webImageSrd>
  <webImageSrd>
    <address r:id="rId209"/>
    <blip r:id="rId210"/>
  </webImageSrd>
  <webImageSrd>
    <address r:id="rId211"/>
    <blip r:id="rId212"/>
  </webImageSrd>
  <webImageSrd>
    <address r:id="rId213"/>
    <blip r:id="rId214"/>
  </webImageSrd>
  <webImageSrd>
    <address r:id="rId215"/>
    <blip r:id="rId216"/>
  </webImageSrd>
  <webImageSrd>
    <address r:id="rId217"/>
    <blip r:id="rId218"/>
  </webImageSrd>
  <webImageSrd>
    <address r:id="rId219"/>
    <blip r:id="rId220"/>
  </webImageSrd>
  <webImageSrd>
    <address r:id="rId221"/>
    <blip r:id="rId222"/>
  </webImageSrd>
  <webImageSrd>
    <address r:id="rId223"/>
    <blip r:id="rId224"/>
  </webImageSrd>
  <webImageSrd>
    <address r:id="rId225"/>
    <blip r:id="rId226"/>
  </webImageSrd>
  <webImageSrd>
    <address r:id="rId227"/>
    <blip r:id="rId228"/>
  </webImageSrd>
  <webImageSrd>
    <address r:id="rId229"/>
    <blip r:id="rId230"/>
  </webImageSrd>
  <webImageSrd>
    <address r:id="rId231"/>
    <blip r:id="rId232"/>
  </webImageSrd>
  <webImageSrd>
    <address r:id="rId233"/>
    <blip r:id="rId234"/>
  </webImageSrd>
  <webImageSrd>
    <address r:id="rId235"/>
    <blip r:id="rId236"/>
  </webImageSrd>
  <webImageSrd>
    <address r:id="rId237"/>
    <blip r:id="rId238"/>
  </webImageSrd>
  <webImageSrd>
    <address r:id="rId239"/>
    <blip r:id="rId240"/>
  </webImageSrd>
  <webImageSrd>
    <address r:id="rId241"/>
    <blip r:id="rId242"/>
  </webImageSrd>
  <webImageSrd>
    <address r:id="rId243"/>
    <blip r:id="rId244"/>
  </webImageSrd>
  <webImageSrd>
    <address r:id="rId245"/>
    <blip r:id="rId246"/>
  </webImageSrd>
  <webImageSrd>
    <address r:id="rId247"/>
    <blip r:id="rId248"/>
  </webImageSrd>
  <webImageSrd>
    <address r:id="rId249"/>
    <blip r:id="rId250"/>
  </webImageSrd>
  <webImageSrd>
    <address r:id="rId251"/>
    <blip r:id="rId252"/>
  </webImageSrd>
  <webImageSrd>
    <address r:id="rId253"/>
    <blip r:id="rId254"/>
  </webImageSrd>
  <webImageSrd>
    <address r:id="rId255"/>
    <blip r:id="rId256"/>
  </webImageSrd>
  <webImageSrd>
    <address r:id="rId257"/>
    <blip r:id="rId258"/>
  </webImageSrd>
  <webImageSrd>
    <address r:id="rId259"/>
    <blip r:id="rId260"/>
  </webImageSrd>
  <webImageSrd>
    <address r:id="rId261"/>
    <blip r:id="rId262"/>
  </webImageSrd>
  <webImageSrd>
    <address r:id="rId263"/>
    <blip r:id="rId264"/>
  </webImageSrd>
  <webImageSrd>
    <address r:id="rId265"/>
    <blip r:id="rId266"/>
  </webImageSrd>
  <webImageSrd>
    <address r:id="rId267"/>
    <blip r:id="rId268"/>
  </webImageSrd>
  <webImageSrd>
    <address r:id="rId269"/>
    <blip r:id="rId270"/>
  </webImageSrd>
  <webImageSrd>
    <address r:id="rId271"/>
    <blip r:id="rId272"/>
  </webImageSrd>
  <webImageSrd>
    <address r:id="rId273"/>
    <blip r:id="rId274"/>
  </webImageSrd>
  <webImageSrd>
    <address r:id="rId275"/>
    <blip r:id="rId276"/>
  </webImageSrd>
  <webImageSrd>
    <address r:id="rId277"/>
    <blip r:id="rId278"/>
  </webImageSrd>
  <webImageSrd>
    <address r:id="rId279"/>
    <blip r:id="rId198"/>
  </webImageSrd>
  <webImageSrd>
    <address r:id="rId280"/>
    <blip r:id="rId281"/>
  </webImageSrd>
  <webImageSrd>
    <address r:id="rId282"/>
    <blip r:id="rId283"/>
  </webImageSrd>
  <webImageSrd>
    <address r:id="rId284"/>
    <blip r:id="rId285"/>
  </webImageSrd>
  <webImageSrd>
    <address r:id="rId286"/>
    <blip r:id="rId287"/>
  </webImageSrd>
  <webImageSrd>
    <address r:id="rId288"/>
    <blip r:id="rId289"/>
  </webImageSrd>
  <webImageSrd>
    <address r:id="rId290"/>
    <blip r:id="rId291"/>
  </webImageSrd>
  <webImageSrd>
    <address r:id="rId292"/>
    <blip r:id="rId293"/>
  </webImageSrd>
  <webImageSrd>
    <address r:id="rId294"/>
    <blip r:id="rId295"/>
  </webImageSrd>
  <webImageSrd>
    <address r:id="rId296"/>
    <blip r:id="rId297"/>
  </webImageSrd>
  <webImageSrd>
    <address r:id="rId298"/>
    <blip r:id="rId299"/>
  </webImageSrd>
  <webImageSrd>
    <address r:id="rId300"/>
    <blip r:id="rId301"/>
  </webImageSrd>
  <webImageSrd>
    <address r:id="rId302"/>
    <blip r:id="rId303"/>
  </webImageSrd>
  <webImageSrd>
    <address r:id="rId304"/>
    <blip r:id="rId305"/>
  </webImageSrd>
  <webImageSrd>
    <address r:id="rId306"/>
    <blip r:id="rId307"/>
  </webImageSrd>
  <webImageSrd>
    <address r:id="rId308"/>
    <blip r:id="rId309"/>
  </webImageSrd>
  <webImageSrd>
    <address r:id="rId310"/>
    <blip r:id="rId311"/>
  </webImageSrd>
  <webImageSrd>
    <address r:id="rId312"/>
    <blip r:id="rId313"/>
  </webImageSrd>
  <webImageSrd>
    <address r:id="rId314"/>
    <blip r:id="rId315"/>
  </webImageSrd>
  <webImageSrd>
    <address r:id="rId316"/>
    <blip r:id="rId317"/>
  </webImageSrd>
  <webImageSrd>
    <address r:id="rId318"/>
    <blip r:id="rId319"/>
  </webImageSrd>
  <webImageSrd>
    <address r:id="rId320"/>
    <blip r:id="rId321"/>
  </webImageSrd>
  <webImageSrd>
    <address r:id="rId322"/>
    <blip r:id="rId323"/>
  </webImageSrd>
  <webImageSrd>
    <address r:id="rId324"/>
    <blip r:id="rId325"/>
  </webImageSrd>
  <webImageSrd>
    <address r:id="rId326"/>
    <blip r:id="rId327"/>
  </webImageSrd>
  <webImageSrd>
    <address r:id="rId328"/>
    <blip r:id="rId329"/>
  </webImageSrd>
  <webImageSrd>
    <address r:id="rId330"/>
    <blip r:id="rId331"/>
  </webImageSrd>
  <webImageSrd>
    <address r:id="rId332"/>
    <blip r:id="rId333"/>
  </webImageSrd>
  <webImageSrd>
    <address r:id="rId334"/>
    <blip r:id="rId335"/>
  </webImageSrd>
  <webImageSrd>
    <address r:id="rId336"/>
    <blip r:id="rId337"/>
  </webImageSrd>
  <webImageSrd>
    <address r:id="rId338"/>
    <blip r:id="rId339"/>
  </webImageSrd>
  <webImageSrd>
    <address r:id="rId340"/>
    <blip r:id="rId341"/>
  </webImageSrd>
  <webImageSrd>
    <address r:id="rId342"/>
    <blip r:id="rId343"/>
  </webImageSrd>
  <webImageSrd>
    <address r:id="rId344"/>
    <blip r:id="rId345"/>
  </webImageSrd>
  <webImageSrd>
    <address r:id="rId346"/>
    <blip r:id="rId347"/>
  </webImageSrd>
  <webImageSrd>
    <address r:id="rId348"/>
    <blip r:id="rId349"/>
  </webImageSrd>
  <webImageSrd>
    <address r:id="rId350"/>
    <blip r:id="rId351"/>
  </webImageSrd>
  <webImageSrd>
    <address r:id="rId352"/>
    <blip r:id="rId353"/>
  </webImageSrd>
  <webImageSrd>
    <address r:id="rId354"/>
    <blip r:id="rId355"/>
  </webImageSrd>
  <webImageSrd>
    <address r:id="rId356"/>
    <blip r:id="rId357"/>
  </webImageSrd>
  <webImageSrd>
    <address r:id="rId358"/>
    <blip r:id="rId359"/>
  </webImageSrd>
  <webImageSrd>
    <address r:id="rId360"/>
    <blip r:id="rId361"/>
  </webImageSrd>
  <webImageSrd>
    <address r:id="rId362"/>
    <blip r:id="rId363"/>
  </webImageSrd>
  <webImageSrd>
    <address r:id="rId364"/>
    <blip r:id="rId365"/>
  </webImageSrd>
  <webImageSrd>
    <address r:id="rId366"/>
    <blip r:id="rId367"/>
  </webImageSrd>
  <webImageSrd>
    <address r:id="rId368"/>
    <blip r:id="rId369"/>
  </webImageSrd>
  <webImageSrd>
    <address r:id="rId370"/>
    <blip r:id="rId371"/>
  </webImageSrd>
  <webImageSrd>
    <address r:id="rId372"/>
    <blip r:id="rId373"/>
  </webImageSrd>
  <webImageSrd>
    <address r:id="rId374"/>
    <blip r:id="rId375"/>
  </webImageSrd>
  <webImageSrd>
    <address r:id="rId376"/>
    <blip r:id="rId377"/>
  </webImageSrd>
  <webImageSrd>
    <address r:id="rId378"/>
    <blip r:id="rId379"/>
  </webImageSrd>
  <webImageSrd>
    <address r:id="rId380"/>
    <blip r:id="rId381"/>
  </webImageSrd>
  <webImageSrd>
    <address r:id="rId382"/>
    <blip r:id="rId383"/>
  </webImageSrd>
  <webImageSrd>
    <address r:id="rId384"/>
    <blip r:id="rId385"/>
  </webImageSrd>
  <webImageSrd>
    <address r:id="rId386"/>
    <blip r:id="rId387"/>
  </webImageSrd>
  <webImageSrd>
    <address r:id="rId388"/>
    <blip r:id="rId389"/>
  </webImageSrd>
  <webImageSrd>
    <address r:id="rId390"/>
    <blip r:id="rId391"/>
  </webImageSrd>
  <webImageSrd>
    <address r:id="rId392"/>
    <blip r:id="rId393"/>
  </webImageSrd>
  <webImageSrd>
    <address r:id="rId394"/>
    <blip r:id="rId395"/>
  </webImageSrd>
  <webImageSrd>
    <address r:id="rId396"/>
    <blip r:id="rId397"/>
  </webImageSrd>
  <webImageSrd>
    <address r:id="rId398"/>
    <blip r:id="rId399"/>
  </webImageSrd>
  <webImageSrd>
    <address r:id="rId400"/>
    <blip r:id="rId401"/>
  </webImageSrd>
  <webImageSrd>
    <address r:id="rId402"/>
    <blip r:id="rId403"/>
  </webImageSrd>
  <webImageSrd>
    <address r:id="rId404"/>
    <blip r:id="rId405"/>
  </webImageSrd>
  <webImageSrd>
    <address r:id="rId406"/>
    <blip r:id="rId407"/>
  </webImageSrd>
  <webImageSrd>
    <address r:id="rId408"/>
    <blip r:id="rId409"/>
  </webImageSrd>
  <webImageSrd>
    <address r:id="rId410"/>
    <blip r:id="rId411"/>
  </webImageSrd>
  <webImageSrd>
    <address r:id="rId412"/>
    <blip r:id="rId413"/>
  </webImageSrd>
  <webImageSrd>
    <address r:id="rId414"/>
    <blip r:id="rId415"/>
  </webImageSrd>
  <webImageSrd>
    <address r:id="rId416"/>
    <blip r:id="rId417"/>
  </webImageSrd>
  <webImageSrd>
    <address r:id="rId418"/>
    <blip r:id="rId419"/>
  </webImageSrd>
  <webImageSrd>
    <address r:id="rId420"/>
    <blip r:id="rId421"/>
  </webImageSrd>
  <webImageSrd>
    <address r:id="rId422"/>
    <blip r:id="rId423"/>
  </webImageSrd>
  <webImageSrd>
    <address r:id="rId424"/>
    <blip r:id="rId425"/>
  </webImageSrd>
  <webImageSrd>
    <address r:id="rId426"/>
    <blip r:id="rId427"/>
  </webImageSrd>
  <webImageSrd>
    <address r:id="rId428"/>
    <blip r:id="rId429"/>
  </webImageSrd>
  <webImageSrd>
    <address r:id="rId430"/>
    <blip r:id="rId431"/>
  </webImageSrd>
  <webImageSrd>
    <address r:id="rId432"/>
    <blip r:id="rId433"/>
  </webImageSrd>
  <webImageSrd>
    <address r:id="rId434"/>
    <blip r:id="rId435"/>
  </webImageSrd>
  <webImageSrd>
    <address r:id="rId436"/>
    <blip r:id="rId437"/>
  </webImageSrd>
  <webImageSrd>
    <address r:id="rId438"/>
    <blip r:id="rId439"/>
  </webImageSrd>
  <webImageSrd>
    <address r:id="rId440"/>
    <blip r:id="rId441"/>
  </webImageSrd>
  <webImageSrd>
    <address r:id="rId442"/>
    <blip r:id="rId443"/>
  </webImageSrd>
  <webImageSrd>
    <address r:id="rId444"/>
    <blip r:id="rId445"/>
  </webImageSrd>
  <webImageSrd>
    <address r:id="rId446"/>
    <blip r:id="rId447"/>
  </webImageSrd>
  <webImageSrd>
    <address r:id="rId448"/>
    <blip r:id="rId449"/>
  </webImageSrd>
  <webImageSrd>
    <address r:id="rId450"/>
    <blip r:id="rId451"/>
  </webImageSrd>
  <webImageSrd>
    <address r:id="rId452"/>
    <blip r:id="rId453"/>
  </webImageSrd>
  <webImageSrd>
    <address r:id="rId454"/>
    <blip r:id="rId455"/>
  </webImageSrd>
  <webImageSrd>
    <address r:id="rId456"/>
    <blip r:id="rId457"/>
  </webImageSrd>
  <webImageSrd>
    <address r:id="rId458"/>
    <blip r:id="rId459"/>
  </webImageSrd>
  <webImageSrd>
    <address r:id="rId460"/>
    <blip r:id="rId461"/>
  </webImageSrd>
  <webImageSrd>
    <address r:id="rId462"/>
    <blip r:id="rId463"/>
  </webImageSrd>
  <webImageSrd>
    <address r:id="rId464"/>
    <blip r:id="rId465"/>
  </webImageSrd>
  <webImageSrd>
    <address r:id="rId466"/>
    <blip r:id="rId467"/>
  </webImageSrd>
  <webImageSrd>
    <address r:id="rId468"/>
    <blip r:id="rId469"/>
  </webImageSrd>
  <webImageSrd>
    <address r:id="rId470"/>
    <blip r:id="rId471"/>
  </webImageSrd>
  <webImageSrd>
    <address r:id="rId472"/>
    <blip r:id="rId473"/>
  </webImageSrd>
  <webImageSrd>
    <address r:id="rId474"/>
    <blip r:id="rId475"/>
  </webImageSrd>
  <webImageSrd>
    <address r:id="rId476"/>
    <blip r:id="rId477"/>
  </webImageSrd>
  <webImageSrd>
    <address r:id="rId478"/>
    <blip r:id="rId479"/>
  </webImageSrd>
  <webImageSrd>
    <address r:id="rId480"/>
    <blip r:id="rId481"/>
  </webImageSrd>
  <webImageSrd>
    <address r:id="rId482"/>
    <blip r:id="rId483"/>
  </webImageSrd>
  <webImageSrd>
    <address r:id="rId484"/>
    <blip r:id="rId485"/>
  </webImageSrd>
</webImagesSrd>
</file>

<file path=xl/richData/rdrichvalue.xml><?xml version="1.0" encoding="utf-8"?>
<rvData xmlns="http://schemas.microsoft.com/office/spreadsheetml/2017/richdata" count="243">
  <rv s="0">
    <v>0</v>
    <v>1</v>
    <v>0</v>
    <v>0</v>
    <v>Flag of AF</v>
  </rv>
  <rv s="0">
    <v>1</v>
    <v>1</v>
    <v>0</v>
    <v>0</v>
    <v>Flag of AL</v>
  </rv>
  <rv s="0">
    <v>2</v>
    <v>1</v>
    <v>0</v>
    <v>0</v>
    <v>Flag of DZ</v>
  </rv>
  <rv s="0">
    <v>3</v>
    <v>1</v>
    <v>0</v>
    <v>0</v>
    <v>Flag of AS</v>
  </rv>
  <rv s="0">
    <v>4</v>
    <v>1</v>
    <v>0</v>
    <v>0</v>
    <v>Flag of AD</v>
  </rv>
  <rv s="0">
    <v>5</v>
    <v>1</v>
    <v>0</v>
    <v>0</v>
    <v>Flag of AO</v>
  </rv>
  <rv s="0">
    <v>6</v>
    <v>1</v>
    <v>0</v>
    <v>0</v>
    <v>Flag of AI</v>
  </rv>
  <rv s="0">
    <v>7</v>
    <v>1</v>
    <v>0</v>
    <v>0</v>
    <v>Flag of AQ</v>
  </rv>
  <rv s="0">
    <v>8</v>
    <v>1</v>
    <v>0</v>
    <v>0</v>
    <v>Flag of AG</v>
  </rv>
  <rv s="0">
    <v>9</v>
    <v>1</v>
    <v>0</v>
    <v>0</v>
    <v>Flag of AR</v>
  </rv>
  <rv s="0">
    <v>10</v>
    <v>1</v>
    <v>0</v>
    <v>0</v>
    <v>Flag of AM</v>
  </rv>
  <rv s="0">
    <v>11</v>
    <v>1</v>
    <v>0</v>
    <v>0</v>
    <v>Flag of AW</v>
  </rv>
  <rv s="0">
    <v>12</v>
    <v>1</v>
    <v>0</v>
    <v>0</v>
    <v>Flag of AU</v>
  </rv>
  <rv s="0">
    <v>13</v>
    <v>1</v>
    <v>0</v>
    <v>0</v>
    <v>Flag of AT</v>
  </rv>
  <rv s="0">
    <v>14</v>
    <v>1</v>
    <v>0</v>
    <v>0</v>
    <v>Flag of AZ</v>
  </rv>
  <rv s="0">
    <v>15</v>
    <v>1</v>
    <v>0</v>
    <v>0</v>
    <v>Flag of BS</v>
  </rv>
  <rv s="0">
    <v>16</v>
    <v>1</v>
    <v>0</v>
    <v>0</v>
    <v>Flag of BH</v>
  </rv>
  <rv s="0">
    <v>17</v>
    <v>1</v>
    <v>0</v>
    <v>0</v>
    <v>Flag of BD</v>
  </rv>
  <rv s="0">
    <v>18</v>
    <v>1</v>
    <v>0</v>
    <v>0</v>
    <v>Flag of BB</v>
  </rv>
  <rv s="0">
    <v>19</v>
    <v>1</v>
    <v>0</v>
    <v>0</v>
    <v>Flag of BY</v>
  </rv>
  <rv s="0">
    <v>20</v>
    <v>1</v>
    <v>0</v>
    <v>0</v>
    <v>Flag of BE</v>
  </rv>
  <rv s="0">
    <v>21</v>
    <v>1</v>
    <v>0</v>
    <v>0</v>
    <v>Flag of BZ</v>
  </rv>
  <rv s="0">
    <v>22</v>
    <v>1</v>
    <v>0</v>
    <v>0</v>
    <v>Flag of BJ</v>
  </rv>
  <rv s="0">
    <v>23</v>
    <v>1</v>
    <v>0</v>
    <v>0</v>
    <v>Flag of BM</v>
  </rv>
  <rv s="0">
    <v>24</v>
    <v>1</v>
    <v>0</v>
    <v>0</v>
    <v>Flag of BT</v>
  </rv>
  <rv s="0">
    <v>25</v>
    <v>1</v>
    <v>0</v>
    <v>0</v>
    <v>Flag of BO</v>
  </rv>
  <rv s="0">
    <v>26</v>
    <v>1</v>
    <v>0</v>
    <v>0</v>
    <v>Flag of BA</v>
  </rv>
  <rv s="0">
    <v>27</v>
    <v>1</v>
    <v>0</v>
    <v>0</v>
    <v>Flag of BW</v>
  </rv>
  <rv s="0">
    <v>28</v>
    <v>1</v>
    <v>0</v>
    <v>0</v>
    <v>Flag of BR</v>
  </rv>
  <rv s="0">
    <v>29</v>
    <v>1</v>
    <v>0</v>
    <v>0</v>
    <v>Flag of VG</v>
  </rv>
  <rv s="0">
    <v>30</v>
    <v>1</v>
    <v>0</v>
    <v>0</v>
    <v>Flag of BN</v>
  </rv>
  <rv s="0">
    <v>31</v>
    <v>1</v>
    <v>0</v>
    <v>0</v>
    <v>Flag of BG</v>
  </rv>
  <rv s="0">
    <v>32</v>
    <v>1</v>
    <v>0</v>
    <v>0</v>
    <v>Flag of BF</v>
  </rv>
  <rv s="0">
    <v>33</v>
    <v>1</v>
    <v>0</v>
    <v>0</v>
    <v>Flag of BI</v>
  </rv>
  <rv s="0">
    <v>34</v>
    <v>1</v>
    <v>0</v>
    <v>0</v>
    <v>Flag of CV</v>
  </rv>
  <rv s="0">
    <v>35</v>
    <v>1</v>
    <v>0</v>
    <v>0</v>
    <v>Flag of KH</v>
  </rv>
  <rv s="0">
    <v>36</v>
    <v>1</v>
    <v>0</v>
    <v>0</v>
    <v>Flag of CM</v>
  </rv>
  <rv s="0">
    <v>37</v>
    <v>1</v>
    <v>0</v>
    <v>0</v>
    <v>Flag of CA</v>
  </rv>
  <rv s="0">
    <v>38</v>
    <v>1</v>
    <v>0</v>
    <v>0</v>
    <v>Flag of BQ</v>
  </rv>
  <rv s="0">
    <v>39</v>
    <v>1</v>
    <v>0</v>
    <v>0</v>
    <v>Flag of KY</v>
  </rv>
  <rv s="0">
    <v>40</v>
    <v>1</v>
    <v>0</v>
    <v>0</v>
    <v>Flag of CF</v>
  </rv>
  <rv s="0">
    <v>41</v>
    <v>1</v>
    <v>0</v>
    <v>0</v>
    <v>Flag of TD</v>
  </rv>
  <rv s="0">
    <v>42</v>
    <v>1</v>
    <v>0</v>
    <v>0</v>
    <v>Flag of CL</v>
  </rv>
  <rv s="0">
    <v>43</v>
    <v>1</v>
    <v>0</v>
    <v>0</v>
    <v>Flag of CN</v>
  </rv>
  <rv s="0">
    <v>44</v>
    <v>1</v>
    <v>0</v>
    <v>0</v>
    <v>Flag of CX</v>
  </rv>
  <rv s="0">
    <v>45</v>
    <v>1</v>
    <v>0</v>
    <v>0</v>
    <v>Flag of CC</v>
  </rv>
  <rv s="0">
    <v>46</v>
    <v>1</v>
    <v>0</v>
    <v>0</v>
    <v>Flag of CO</v>
  </rv>
  <rv s="0">
    <v>47</v>
    <v>1</v>
    <v>0</v>
    <v>0</v>
    <v>Flag of KM</v>
  </rv>
  <rv s="0">
    <v>48</v>
    <v>1</v>
    <v>0</v>
    <v>0</v>
    <v>Flag of CG</v>
  </rv>
  <rv s="0">
    <v>49</v>
    <v>1</v>
    <v>0</v>
    <v>0</v>
    <v>Flag of CK</v>
  </rv>
  <rv s="0">
    <v>50</v>
    <v>1</v>
    <v>0</v>
    <v>0</v>
    <v>Flag of CR</v>
  </rv>
  <rv s="0">
    <v>51</v>
    <v>1</v>
    <v>0</v>
    <v>0</v>
    <v>Flag of HR</v>
  </rv>
  <rv s="0">
    <v>52</v>
    <v>1</v>
    <v>0</v>
    <v>0</v>
    <v>Flag of CU</v>
  </rv>
  <rv s="0">
    <v>53</v>
    <v>1</v>
    <v>0</v>
    <v>0</v>
    <v>Flag of CW</v>
  </rv>
  <rv s="0">
    <v>54</v>
    <v>1</v>
    <v>0</v>
    <v>0</v>
    <v>Flag of CY</v>
  </rv>
  <rv s="0">
    <v>55</v>
    <v>1</v>
    <v>0</v>
    <v>0</v>
    <v>Flag of CZ</v>
  </rv>
  <rv s="0">
    <v>56</v>
    <v>1</v>
    <v>0</v>
    <v>0</v>
    <v>Flag of DK</v>
  </rv>
  <rv s="0">
    <v>57</v>
    <v>1</v>
    <v>0</v>
    <v>0</v>
    <v>Flag of DJ</v>
  </rv>
  <rv s="0">
    <v>58</v>
    <v>1</v>
    <v>0</v>
    <v>0</v>
    <v>Flag of DM</v>
  </rv>
  <rv s="0">
    <v>59</v>
    <v>1</v>
    <v>0</v>
    <v>0</v>
    <v>Flag of DO</v>
  </rv>
  <rv s="0">
    <v>60</v>
    <v>1</v>
    <v>0</v>
    <v>0</v>
    <v>Flag of CD</v>
  </rv>
  <rv s="0">
    <v>61</v>
    <v>1</v>
    <v>0</v>
    <v>0</v>
    <v>Flag of EC</v>
  </rv>
  <rv s="0">
    <v>62</v>
    <v>1</v>
    <v>0</v>
    <v>0</v>
    <v>Flag of EG</v>
  </rv>
  <rv s="0">
    <v>63</v>
    <v>1</v>
    <v>0</v>
    <v>0</v>
    <v>Flag of SV</v>
  </rv>
  <rv s="0">
    <v>64</v>
    <v>1</v>
    <v>0</v>
    <v>0</v>
    <v>Flag of GQ</v>
  </rv>
  <rv s="0">
    <v>65</v>
    <v>1</v>
    <v>0</v>
    <v>0</v>
    <v>Flag of ER</v>
  </rv>
  <rv s="0">
    <v>66</v>
    <v>1</v>
    <v>0</v>
    <v>0</v>
    <v>Flag of EE</v>
  </rv>
  <rv s="0">
    <v>67</v>
    <v>1</v>
    <v>0</v>
    <v>0</v>
    <v>Flag of SZ</v>
  </rv>
  <rv s="0">
    <v>68</v>
    <v>1</v>
    <v>0</v>
    <v>0</v>
    <v>Flag of ET</v>
  </rv>
  <rv s="0">
    <v>69</v>
    <v>1</v>
    <v>0</v>
    <v>0</v>
    <v>Flag of FK</v>
  </rv>
  <rv s="0">
    <v>70</v>
    <v>1</v>
    <v>0</v>
    <v>0</v>
    <v>Flag of FO</v>
  </rv>
  <rv s="0">
    <v>71</v>
    <v>1</v>
    <v>0</v>
    <v>0</v>
    <v>Flag of FJ</v>
  </rv>
  <rv s="0">
    <v>72</v>
    <v>1</v>
    <v>0</v>
    <v>0</v>
    <v>Flag of FI</v>
  </rv>
  <rv s="0">
    <v>73</v>
    <v>1</v>
    <v>0</v>
    <v>0</v>
    <v>Flag of FR</v>
  </rv>
  <rv s="0">
    <v>74</v>
    <v>1</v>
    <v>0</v>
    <v>0</v>
    <v>Flag of GF</v>
  </rv>
  <rv s="0">
    <v>75</v>
    <v>1</v>
    <v>0</v>
    <v>0</v>
    <v>Flag of PF</v>
  </rv>
  <rv s="0">
    <v>76</v>
    <v>1</v>
    <v>0</v>
    <v>0</v>
    <v>Flag of GA</v>
  </rv>
  <rv s="0">
    <v>77</v>
    <v>1</v>
    <v>0</v>
    <v>0</v>
    <v>Flag of GM</v>
  </rv>
  <rv s="0">
    <v>78</v>
    <v>1</v>
    <v>0</v>
    <v>0</v>
    <v>Flag of GE</v>
  </rv>
  <rv s="0">
    <v>79</v>
    <v>1</v>
    <v>0</v>
    <v>0</v>
    <v>Flag of DE</v>
  </rv>
  <rv s="0">
    <v>80</v>
    <v>1</v>
    <v>0</v>
    <v>0</v>
    <v>Flag of GH</v>
  </rv>
  <rv s="0">
    <v>81</v>
    <v>1</v>
    <v>0</v>
    <v>0</v>
    <v>Flag of GI</v>
  </rv>
  <rv s="0">
    <v>82</v>
    <v>1</v>
    <v>0</v>
    <v>0</v>
    <v>Flag of GR</v>
  </rv>
  <rv s="0">
    <v>83</v>
    <v>1</v>
    <v>0</v>
    <v>0</v>
    <v>Flag of GL</v>
  </rv>
  <rv s="0">
    <v>84</v>
    <v>1</v>
    <v>0</v>
    <v>0</v>
    <v>Flag of GD</v>
  </rv>
  <rv s="0">
    <v>85</v>
    <v>1</v>
    <v>0</v>
    <v>0</v>
    <v>Flag of GP</v>
  </rv>
  <rv s="0">
    <v>86</v>
    <v>1</v>
    <v>0</v>
    <v>0</v>
    <v>Flag of GU</v>
  </rv>
  <rv s="0">
    <v>87</v>
    <v>1</v>
    <v>0</v>
    <v>0</v>
    <v>Flag of GT</v>
  </rv>
  <rv s="0">
    <v>88</v>
    <v>1</v>
    <v>0</v>
    <v>0</v>
    <v>Flag of GG</v>
  </rv>
  <rv s="0">
    <v>89</v>
    <v>1</v>
    <v>0</v>
    <v>0</v>
    <v>Flag of GN</v>
  </rv>
  <rv s="0">
    <v>90</v>
    <v>1</v>
    <v>0</v>
    <v>0</v>
    <v>Flag of GW</v>
  </rv>
  <rv s="0">
    <v>91</v>
    <v>1</v>
    <v>0</v>
    <v>0</v>
    <v>Flag of GY</v>
  </rv>
  <rv s="0">
    <v>92</v>
    <v>1</v>
    <v>0</v>
    <v>0</v>
    <v>Flag of HT</v>
  </rv>
  <rv s="0">
    <v>93</v>
    <v>1</v>
    <v>0</v>
    <v>0</v>
    <v>Flag of HN</v>
  </rv>
  <rv s="0">
    <v>94</v>
    <v>1</v>
    <v>0</v>
    <v>0</v>
    <v>Flag of HK</v>
  </rv>
  <rv s="0">
    <v>95</v>
    <v>1</v>
    <v>0</v>
    <v>0</v>
    <v>Flag of HU</v>
  </rv>
  <rv s="0">
    <v>96</v>
    <v>1</v>
    <v>0</v>
    <v>0</v>
    <v>Flag of IS</v>
  </rv>
  <rv s="0">
    <v>97</v>
    <v>1</v>
    <v>0</v>
    <v>0</v>
    <v>Flag of IN</v>
  </rv>
  <rv s="0">
    <v>98</v>
    <v>1</v>
    <v>0</v>
    <v>0</v>
    <v>Flag of ID</v>
  </rv>
  <rv s="0">
    <v>99</v>
    <v>1</v>
    <v>0</v>
    <v>0</v>
    <v>Flag of IR</v>
  </rv>
  <rv s="0">
    <v>100</v>
    <v>1</v>
    <v>0</v>
    <v>0</v>
    <v>Flag of IQ</v>
  </rv>
  <rv s="0">
    <v>101</v>
    <v>1</v>
    <v>0</v>
    <v>0</v>
    <v>Flag of IE</v>
  </rv>
  <rv s="0">
    <v>102</v>
    <v>1</v>
    <v>0</v>
    <v>0</v>
    <v>Flag of IM</v>
  </rv>
  <rv s="0">
    <v>103</v>
    <v>1</v>
    <v>0</v>
    <v>0</v>
    <v>Flag of IL</v>
  </rv>
  <rv s="0">
    <v>104</v>
    <v>1</v>
    <v>0</v>
    <v>0</v>
    <v>Flag of IT</v>
  </rv>
  <rv s="0">
    <v>105</v>
    <v>1</v>
    <v>0</v>
    <v>0</v>
    <v>Flag of CI</v>
  </rv>
  <rv s="0">
    <v>106</v>
    <v>1</v>
    <v>0</v>
    <v>0</v>
    <v>Flag of JM</v>
  </rv>
  <rv s="0">
    <v>107</v>
    <v>1</v>
    <v>0</v>
    <v>0</v>
    <v>Flag of JP</v>
  </rv>
  <rv s="0">
    <v>108</v>
    <v>1</v>
    <v>0</v>
    <v>0</v>
    <v>Flag of JE</v>
  </rv>
  <rv s="0">
    <v>109</v>
    <v>1</v>
    <v>0</v>
    <v>0</v>
    <v>Flag of JO</v>
  </rv>
  <rv s="0">
    <v>110</v>
    <v>1</v>
    <v>0</v>
    <v>0</v>
    <v>Flag of KZ</v>
  </rv>
  <rv s="0">
    <v>111</v>
    <v>1</v>
    <v>0</v>
    <v>0</v>
    <v>Flag of KE</v>
  </rv>
  <rv s="0">
    <v>112</v>
    <v>1</v>
    <v>0</v>
    <v>0</v>
    <v>Flag of KI</v>
  </rv>
  <rv s="0">
    <v>113</v>
    <v>1</v>
    <v>0</v>
    <v>0</v>
    <v>Flag of KW</v>
  </rv>
  <rv s="0">
    <v>114</v>
    <v>1</v>
    <v>0</v>
    <v>0</v>
    <v>Flag of KG</v>
  </rv>
  <rv s="0">
    <v>115</v>
    <v>1</v>
    <v>0</v>
    <v>0</v>
    <v>Flag of LA</v>
  </rv>
  <rv s="0">
    <v>116</v>
    <v>1</v>
    <v>0</v>
    <v>0</v>
    <v>Flag of LV</v>
  </rv>
  <rv s="0">
    <v>117</v>
    <v>1</v>
    <v>0</v>
    <v>0</v>
    <v>Flag of LB</v>
  </rv>
  <rv s="0">
    <v>118</v>
    <v>1</v>
    <v>0</v>
    <v>0</v>
    <v>Flag of LS</v>
  </rv>
  <rv s="0">
    <v>119</v>
    <v>1</v>
    <v>0</v>
    <v>0</v>
    <v>Flag of LR</v>
  </rv>
  <rv s="0">
    <v>120</v>
    <v>1</v>
    <v>0</v>
    <v>0</v>
    <v>Flag of LY</v>
  </rv>
  <rv s="0">
    <v>121</v>
    <v>1</v>
    <v>0</v>
    <v>0</v>
    <v>Flag of LI</v>
  </rv>
  <rv s="0">
    <v>122</v>
    <v>1</v>
    <v>0</v>
    <v>0</v>
    <v>Flag of LT</v>
  </rv>
  <rv s="0">
    <v>123</v>
    <v>1</v>
    <v>0</v>
    <v>0</v>
    <v>Flag of LU</v>
  </rv>
  <rv s="0">
    <v>124</v>
    <v>1</v>
    <v>0</v>
    <v>0</v>
    <v>Flag of MO</v>
  </rv>
  <rv s="0">
    <v>125</v>
    <v>1</v>
    <v>0</v>
    <v>0</v>
    <v>Flag of MG</v>
  </rv>
  <rv s="0">
    <v>126</v>
    <v>1</v>
    <v>0</v>
    <v>0</v>
    <v>Flag of MW</v>
  </rv>
  <rv s="0">
    <v>127</v>
    <v>1</v>
    <v>0</v>
    <v>0</v>
    <v>Flag of MY</v>
  </rv>
  <rv s="0">
    <v>128</v>
    <v>1</v>
    <v>0</v>
    <v>0</v>
    <v>Flag of MV</v>
  </rv>
  <rv s="0">
    <v>129</v>
    <v>1</v>
    <v>0</v>
    <v>0</v>
    <v>Flag of ML</v>
  </rv>
  <rv s="0">
    <v>130</v>
    <v>1</v>
    <v>0</v>
    <v>0</v>
    <v>Flag of MT</v>
  </rv>
  <rv s="0">
    <v>131</v>
    <v>1</v>
    <v>0</v>
    <v>0</v>
    <v>Flag of MH</v>
  </rv>
  <rv s="0">
    <v>132</v>
    <v>1</v>
    <v>0</v>
    <v>0</v>
    <v>Flag of MQ</v>
  </rv>
  <rv s="0">
    <v>133</v>
    <v>1</v>
    <v>0</v>
    <v>0</v>
    <v>Flag of MR</v>
  </rv>
  <rv s="0">
    <v>134</v>
    <v>1</v>
    <v>0</v>
    <v>0</v>
    <v>Flag of MU</v>
  </rv>
  <rv s="0">
    <v>135</v>
    <v>1</v>
    <v>0</v>
    <v>0</v>
    <v>Flag of YT</v>
  </rv>
  <rv s="0">
    <v>136</v>
    <v>1</v>
    <v>0</v>
    <v>0</v>
    <v>Flag of MX</v>
  </rv>
  <rv s="0">
    <v>137</v>
    <v>1</v>
    <v>0</v>
    <v>0</v>
    <v>Flag of FM</v>
  </rv>
  <rv s="0">
    <v>138</v>
    <v>1</v>
    <v>0</v>
    <v>0</v>
    <v>Flag of MD</v>
  </rv>
  <rv s="0">
    <v>139</v>
    <v>1</v>
    <v>0</v>
    <v>0</v>
    <v>Flag of MC</v>
  </rv>
  <rv s="0">
    <v>140</v>
    <v>1</v>
    <v>0</v>
    <v>0</v>
    <v>Flag of MN</v>
  </rv>
  <rv s="0">
    <v>141</v>
    <v>1</v>
    <v>0</v>
    <v>0</v>
    <v>Flag of ME</v>
  </rv>
  <rv s="0">
    <v>142</v>
    <v>1</v>
    <v>0</v>
    <v>0</v>
    <v>Flag of MS</v>
  </rv>
  <rv s="0">
    <v>143</v>
    <v>1</v>
    <v>0</v>
    <v>0</v>
    <v>Flag of MA</v>
  </rv>
  <rv s="0">
    <v>144</v>
    <v>1</v>
    <v>0</v>
    <v>0</v>
    <v>Flag of MZ</v>
  </rv>
  <rv s="0">
    <v>145</v>
    <v>1</v>
    <v>0</v>
    <v>0</v>
    <v>Flag of MM</v>
  </rv>
  <rv s="0">
    <v>146</v>
    <v>1</v>
    <v>0</v>
    <v>0</v>
    <v>Flag of NA</v>
  </rv>
  <rv s="0">
    <v>147</v>
    <v>1</v>
    <v>0</v>
    <v>0</v>
    <v>Flag of NR</v>
  </rv>
  <rv s="0">
    <v>148</v>
    <v>1</v>
    <v>0</v>
    <v>0</v>
    <v>Flag of NP</v>
  </rv>
  <rv s="0">
    <v>149</v>
    <v>1</v>
    <v>0</v>
    <v>0</v>
    <v>Flag of NL</v>
  </rv>
  <rv s="0">
    <v>150</v>
    <v>1</v>
    <v>0</v>
    <v>0</v>
    <v>Flag of NC</v>
  </rv>
  <rv s="0">
    <v>151</v>
    <v>1</v>
    <v>0</v>
    <v>0</v>
    <v>Flag of NZ</v>
  </rv>
  <rv s="0">
    <v>152</v>
    <v>1</v>
    <v>0</v>
    <v>0</v>
    <v>Flag of NI</v>
  </rv>
  <rv s="0">
    <v>153</v>
    <v>1</v>
    <v>0</v>
    <v>0</v>
    <v>Flag of NE</v>
  </rv>
  <rv s="0">
    <v>154</v>
    <v>1</v>
    <v>0</v>
    <v>0</v>
    <v>Flag of NG</v>
  </rv>
  <rv s="0">
    <v>155</v>
    <v>1</v>
    <v>0</v>
    <v>0</v>
    <v>Flag of NU</v>
  </rv>
  <rv s="0">
    <v>156</v>
    <v>1</v>
    <v>0</v>
    <v>0</v>
    <v>Flag of NF</v>
  </rv>
  <rv s="0">
    <v>157</v>
    <v>1</v>
    <v>0</v>
    <v>0</v>
    <v>Flag of KP</v>
  </rv>
  <rv s="0">
    <v>158</v>
    <v>1</v>
    <v>0</v>
    <v>0</v>
    <v>Flag of MK</v>
  </rv>
  <rv s="0">
    <v>159</v>
    <v>1</v>
    <v>0</v>
    <v>0</v>
    <v>Flag of NY</v>
  </rv>
  <rv s="0">
    <v>160</v>
    <v>1</v>
    <v>0</v>
    <v>0</v>
    <v>Flag of MP</v>
  </rv>
  <rv s="0">
    <v>161</v>
    <v>1</v>
    <v>0</v>
    <v>0</v>
    <v>Flag of NO</v>
  </rv>
  <rv s="0">
    <v>162</v>
    <v>1</v>
    <v>0</v>
    <v>0</v>
    <v>Flag of OM</v>
  </rv>
  <rv s="0">
    <v>163</v>
    <v>1</v>
    <v>0</v>
    <v>0</v>
    <v>Flag of PK</v>
  </rv>
  <rv s="0">
    <v>164</v>
    <v>1</v>
    <v>0</v>
    <v>0</v>
    <v>Flag of PW</v>
  </rv>
  <rv s="0">
    <v>165</v>
    <v>1</v>
    <v>0</v>
    <v>0</v>
    <v>Flag of PS</v>
  </rv>
  <rv s="0">
    <v>166</v>
    <v>1</v>
    <v>0</v>
    <v>0</v>
    <v>Flag of PA</v>
  </rv>
  <rv s="0">
    <v>167</v>
    <v>1</v>
    <v>0</v>
    <v>0</v>
    <v>Flag of PG</v>
  </rv>
  <rv s="0">
    <v>168</v>
    <v>1</v>
    <v>0</v>
    <v>0</v>
    <v>Flag of PY</v>
  </rv>
  <rv s="0">
    <v>169</v>
    <v>1</v>
    <v>0</v>
    <v>0</v>
    <v>Flag of PE</v>
  </rv>
  <rv s="0">
    <v>170</v>
    <v>1</v>
    <v>0</v>
    <v>0</v>
    <v>Flag of PH</v>
  </rv>
  <rv s="0">
    <v>171</v>
    <v>1</v>
    <v>0</v>
    <v>0</v>
    <v>Flag of PN</v>
  </rv>
  <rv s="0">
    <v>172</v>
    <v>1</v>
    <v>0</v>
    <v>0</v>
    <v>Flag of PL</v>
  </rv>
  <rv s="0">
    <v>173</v>
    <v>1</v>
    <v>0</v>
    <v>0</v>
    <v>Flag of PT</v>
  </rv>
  <rv s="0">
    <v>174</v>
    <v>1</v>
    <v>0</v>
    <v>0</v>
    <v>Flag of PR</v>
  </rv>
  <rv s="0">
    <v>175</v>
    <v>1</v>
    <v>0</v>
    <v>0</v>
    <v>Flag of QA</v>
  </rv>
  <rv s="0">
    <v>176</v>
    <v>1</v>
    <v>0</v>
    <v>0</v>
    <v>Flag of RE</v>
  </rv>
  <rv s="0">
    <v>177</v>
    <v>1</v>
    <v>0</v>
    <v>0</v>
    <v>Flag of RO</v>
  </rv>
  <rv s="0">
    <v>178</v>
    <v>1</v>
    <v>0</v>
    <v>0</v>
    <v>Flag of RU</v>
  </rv>
  <rv s="0">
    <v>179</v>
    <v>1</v>
    <v>0</v>
    <v>0</v>
    <v>Flag of RW</v>
  </rv>
  <rv s="0">
    <v>180</v>
    <v>1</v>
    <v>0</v>
    <v>0</v>
    <v>Flag of BL</v>
  </rv>
  <rv s="0">
    <v>181</v>
    <v>1</v>
    <v>0</v>
    <v>0</v>
    <v>Flag of SH</v>
  </rv>
  <rv s="0">
    <v>182</v>
    <v>1</v>
    <v>0</v>
    <v>0</v>
    <v>Flag of KN</v>
  </rv>
  <rv s="0">
    <v>183</v>
    <v>1</v>
    <v>0</v>
    <v>0</v>
    <v>Flag of LC</v>
  </rv>
  <rv s="0">
    <v>184</v>
    <v>1</v>
    <v>0</v>
    <v>0</v>
    <v>Flag of MF</v>
  </rv>
  <rv s="0">
    <v>185</v>
    <v>1</v>
    <v>0</v>
    <v>0</v>
    <v>Flag of PM</v>
  </rv>
  <rv s="0">
    <v>186</v>
    <v>1</v>
    <v>0</v>
    <v>0</v>
    <v>Flag of VC</v>
  </rv>
  <rv s="0">
    <v>187</v>
    <v>1</v>
    <v>0</v>
    <v>0</v>
    <v>Flag of WS</v>
  </rv>
  <rv s="0">
    <v>188</v>
    <v>1</v>
    <v>0</v>
    <v>0</v>
    <v>Flag of SM</v>
  </rv>
  <rv s="0">
    <v>189</v>
    <v>1</v>
    <v>0</v>
    <v>0</v>
    <v>Flag of ST</v>
  </rv>
  <rv s="0">
    <v>190</v>
    <v>1</v>
    <v>0</v>
    <v>0</v>
    <v>Flag of SA</v>
  </rv>
  <rv s="0">
    <v>191</v>
    <v>1</v>
    <v>0</v>
    <v>0</v>
    <v>Flag of SN</v>
  </rv>
  <rv s="0">
    <v>192</v>
    <v>1</v>
    <v>0</v>
    <v>0</v>
    <v>Flag of RS</v>
  </rv>
  <rv s="0">
    <v>193</v>
    <v>1</v>
    <v>0</v>
    <v>0</v>
    <v>Flag of SC</v>
  </rv>
  <rv s="0">
    <v>194</v>
    <v>1</v>
    <v>0</v>
    <v>0</v>
    <v>Flag of SL</v>
  </rv>
  <rv s="0">
    <v>195</v>
    <v>1</v>
    <v>0</v>
    <v>0</v>
    <v>Flag of SG</v>
  </rv>
  <rv s="0">
    <v>196</v>
    <v>1</v>
    <v>0</v>
    <v>0</v>
    <v>Flag of SX</v>
  </rv>
  <rv s="0">
    <v>197</v>
    <v>1</v>
    <v>0</v>
    <v>0</v>
    <v>Flag of SK</v>
  </rv>
  <rv s="0">
    <v>198</v>
    <v>1</v>
    <v>0</v>
    <v>0</v>
    <v>Flag of SI</v>
  </rv>
  <rv s="0">
    <v>199</v>
    <v>1</v>
    <v>0</v>
    <v>0</v>
    <v>Flag of SB</v>
  </rv>
  <rv s="0">
    <v>200</v>
    <v>1</v>
    <v>0</v>
    <v>0</v>
    <v>Flag of SO</v>
  </rv>
  <rv s="0">
    <v>201</v>
    <v>1</v>
    <v>0</v>
    <v>0</v>
    <v>Flag of ZA</v>
  </rv>
  <rv s="0">
    <v>202</v>
    <v>1</v>
    <v>0</v>
    <v>0</v>
    <v>Flag of KR</v>
  </rv>
  <rv s="0">
    <v>203</v>
    <v>1</v>
    <v>0</v>
    <v>0</v>
    <v>Flag of SS</v>
  </rv>
  <rv s="0">
    <v>204</v>
    <v>1</v>
    <v>0</v>
    <v>0</v>
    <v>Flag of ES</v>
  </rv>
  <rv s="0">
    <v>205</v>
    <v>1</v>
    <v>0</v>
    <v>0</v>
    <v>Flag of LK</v>
  </rv>
  <rv s="0">
    <v>206</v>
    <v>1</v>
    <v>0</v>
    <v>0</v>
    <v>Flag of SD</v>
  </rv>
  <rv s="0">
    <v>207</v>
    <v>1</v>
    <v>0</v>
    <v>0</v>
    <v>Flag of SR</v>
  </rv>
  <rv s="0">
    <v>208</v>
    <v>1</v>
    <v>0</v>
    <v>0</v>
    <v>Flag of SJ</v>
  </rv>
  <rv s="0">
    <v>209</v>
    <v>1</v>
    <v>0</v>
    <v>0</v>
    <v>Flag of SE</v>
  </rv>
  <rv s="0">
    <v>210</v>
    <v>1</v>
    <v>0</v>
    <v>0</v>
    <v>Flag of CH</v>
  </rv>
  <rv s="0">
    <v>211</v>
    <v>1</v>
    <v>0</v>
    <v>0</v>
    <v>Flag of SY</v>
  </rv>
  <rv s="0">
    <v>212</v>
    <v>1</v>
    <v>0</v>
    <v>0</v>
    <v>Flag of TW</v>
  </rv>
  <rv s="0">
    <v>213</v>
    <v>1</v>
    <v>0</v>
    <v>0</v>
    <v>Flag of TJ</v>
  </rv>
  <rv s="0">
    <v>214</v>
    <v>1</v>
    <v>0</v>
    <v>0</v>
    <v>Flag of TZ</v>
  </rv>
  <rv s="0">
    <v>215</v>
    <v>1</v>
    <v>0</v>
    <v>0</v>
    <v>Flag of TH</v>
  </rv>
  <rv s="0">
    <v>216</v>
    <v>1</v>
    <v>0</v>
    <v>0</v>
    <v>Flag of TL</v>
  </rv>
  <rv s="0">
    <v>217</v>
    <v>1</v>
    <v>0</v>
    <v>0</v>
    <v>Flag of TG</v>
  </rv>
  <rv s="0">
    <v>218</v>
    <v>1</v>
    <v>0</v>
    <v>0</v>
    <v>Flag of TK</v>
  </rv>
  <rv s="0">
    <v>219</v>
    <v>1</v>
    <v>0</v>
    <v>0</v>
    <v>Flag of TO</v>
  </rv>
  <rv s="0">
    <v>220</v>
    <v>1</v>
    <v>0</v>
    <v>0</v>
    <v>Flag of TT</v>
  </rv>
  <rv s="0">
    <v>221</v>
    <v>1</v>
    <v>0</v>
    <v>0</v>
    <v>Flag of TN</v>
  </rv>
  <rv s="0">
    <v>222</v>
    <v>1</v>
    <v>0</v>
    <v>0</v>
    <v>Flag of TR</v>
  </rv>
  <rv s="0">
    <v>223</v>
    <v>1</v>
    <v>0</v>
    <v>0</v>
    <v>Flag of TM</v>
  </rv>
  <rv s="0">
    <v>224</v>
    <v>1</v>
    <v>0</v>
    <v>0</v>
    <v>Flag of TC</v>
  </rv>
  <rv s="0">
    <v>225</v>
    <v>1</v>
    <v>0</v>
    <v>0</v>
    <v>Flag of TV</v>
  </rv>
  <rv s="0">
    <v>226</v>
    <v>1</v>
    <v>0</v>
    <v>0</v>
    <v>Flag of UG</v>
  </rv>
  <rv s="0">
    <v>227</v>
    <v>1</v>
    <v>0</v>
    <v>0</v>
    <v>Flag of UA</v>
  </rv>
  <rv s="0">
    <v>228</v>
    <v>1</v>
    <v>0</v>
    <v>0</v>
    <v>Flag of AE</v>
  </rv>
  <rv s="0">
    <v>229</v>
    <v>1</v>
    <v>0</v>
    <v>0</v>
    <v>Flag of GB</v>
  </rv>
  <rv s="0">
    <v>230</v>
    <v>1</v>
    <v>0</v>
    <v>0</v>
    <v>Flag of US</v>
  </rv>
  <rv s="0">
    <v>231</v>
    <v>1</v>
    <v>0</v>
    <v>0</v>
    <v>Flag of VI</v>
  </rv>
  <rv s="0">
    <v>232</v>
    <v>1</v>
    <v>0</v>
    <v>0</v>
    <v>Flag of UY</v>
  </rv>
  <rv s="0">
    <v>233</v>
    <v>1</v>
    <v>0</v>
    <v>0</v>
    <v>Flag of UZ</v>
  </rv>
  <rv s="0">
    <v>234</v>
    <v>1</v>
    <v>0</v>
    <v>0</v>
    <v>Flag of VU</v>
  </rv>
  <rv s="0">
    <v>235</v>
    <v>1</v>
    <v>0</v>
    <v>0</v>
    <v>Flag of VA</v>
  </rv>
  <rv s="0">
    <v>236</v>
    <v>1</v>
    <v>0</v>
    <v>0</v>
    <v>Flag of VE</v>
  </rv>
  <rv s="0">
    <v>237</v>
    <v>1</v>
    <v>0</v>
    <v>0</v>
    <v>Flag of VN</v>
  </rv>
  <rv s="0">
    <v>238</v>
    <v>1</v>
    <v>0</v>
    <v>0</v>
    <v>Flag of WF</v>
  </rv>
  <rv s="0">
    <v>239</v>
    <v>1</v>
    <v>0</v>
    <v>0</v>
    <v>Flag of EH</v>
  </rv>
  <rv s="0">
    <v>240</v>
    <v>1</v>
    <v>0</v>
    <v>0</v>
    <v>Flag of YE</v>
  </rv>
  <rv s="0">
    <v>241</v>
    <v>1</v>
    <v>0</v>
    <v>0</v>
    <v>Flag of ZM</v>
  </rv>
  <rv s="0">
    <v>242</v>
    <v>1</v>
    <v>0</v>
    <v>0</v>
    <v>Flag of ZW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  <k n="Text" t="s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62131A-B778-4EAE-982B-14336E175BD7}" name="CityTable" displayName="CityTable" ref="A1:K3" totalsRowShown="0" headerRowDxfId="55">
  <autoFilter ref="A1:K3" xr:uid="{0362131A-B778-4EAE-982B-14336E175BD7}"/>
  <sortState xmlns:xlrd2="http://schemas.microsoft.com/office/spreadsheetml/2017/richdata2" ref="A2:K2">
    <sortCondition ref="B1:B2"/>
  </sortState>
  <tableColumns count="11">
    <tableColumn id="6" xr3:uid="{0F43BFAB-7991-4029-8CCF-5CB747D4D3DE}" name="ISO2" dataDxfId="54">
      <calculatedColumnFormula>_xlfn.XLOOKUP(CityTable[[#This Row],[Country]], CountryTable[Common Name], CountryTable[ISO2])</calculatedColumnFormula>
    </tableColumn>
    <tableColumn id="7" xr3:uid="{8C2439C4-5D8C-4F32-A110-3B2B4B052ECB}" name="Country"/>
    <tableColumn id="1" xr3:uid="{54101ED5-832E-4969-9728-0CB79150E109}" name="Name"/>
    <tableColumn id="8" xr3:uid="{6AA7F9A8-5267-446F-8E98-33BACFBDC46A}" name="Alternative Name" dataDxfId="53"/>
    <tableColumn id="2" xr3:uid="{ACA698F8-451D-43EE-8D63-EF5CA7CCCF67}" name="Lat" dataDxfId="52">
      <calculatedColumnFormula array="1">GetCityLatitude(CityTable[[#This Row],[Name]],CityTable[[#This Row],[ISO2]])</calculatedColumnFormula>
    </tableColumn>
    <tableColumn id="3" xr3:uid="{B244BCF6-C803-4F7D-84F6-5217AF75A478}" name="Lon" dataDxfId="51">
      <calculatedColumnFormula array="1">GetCityLongitude(CityTable[[#This Row],[Name]],CityTable[[#This Row],[ISO2]])</calculatedColumnFormula>
    </tableColumn>
    <tableColumn id="4" xr3:uid="{69FDF3B5-5148-4031-AD74-CE76369A6882}" name="Population" dataDxfId="50" dataCellStyle="Komma">
      <calculatedColumnFormula array="1">GetCityPopulation(CityTable[[#This Row],[Name]] &amp; ", " &amp; CityTable[[#This Row],[Country]],CityTable[[#This Row],[ISO2]])</calculatedColumnFormula>
    </tableColumn>
    <tableColumn id="5" xr3:uid="{670FBFAA-E820-40A6-9E99-068EBD56873A}" name="Visits" dataDxfId="49">
      <calculatedColumnFormula array="1">IFERROR(COUNTA(_xlfn.UNIQUE(_xlfn._xlws.FILTER(TripTable[Trip Name], (TripTable[City]=CityTable[[#This Row],[Name]])*(TripTable[City]&lt;&gt;"")))), 0)</calculatedColumnFormula>
    </tableColumn>
    <tableColumn id="11" xr3:uid="{05042FBA-4E58-4AC5-8561-2CA0F0C0D80C}" name="Home" dataDxfId="48"/>
    <tableColumn id="9" xr3:uid="{FEC932E4-C673-488E-B8FE-5D038D0D898F}" name="First Visit" dataDxfId="47">
      <calculatedColumnFormula>IF(COUNTIFS(TripTable[City],CityTable[[#This Row],[Name]])=0,"",TEXT(_xlfn.MINIFS(TripTable[Date],TripTable[City],CityTable[[#This Row],[Name]]),"MMM JJJJ"))</calculatedColumnFormula>
    </tableColumn>
    <tableColumn id="10" xr3:uid="{218104F6-2935-4251-B33E-F21846D30AFE}" name="Last Visit" dataDxfId="46">
      <calculatedColumnFormula>IF(COUNTIFS(TripTable[City],CityTable[[#This Row],[Name]])=0,"",TEXT(_xlfn.MAXIFS(TripTable[Date],TripTable[City],CityTable[[#This Row],[Name]]),"MMM JJJJ"))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A6D1237-4D82-4BF7-892D-A8ACF71918ED}" name="CountryTable" displayName="CountryTable" ref="A1:K244" totalsRowShown="0" headerRowDxfId="44" dataDxfId="43">
  <autoFilter ref="A1:K244" xr:uid="{DA6D1237-4D82-4BF7-892D-A8ACF71918ED}"/>
  <sortState xmlns:xlrd2="http://schemas.microsoft.com/office/spreadsheetml/2017/richdata2" ref="A2:K244">
    <sortCondition ref="B1:B244"/>
  </sortState>
  <tableColumns count="11">
    <tableColumn id="1" xr3:uid="{EB20A326-2F6E-46A9-877A-81C91FC5F48A}" name="ISO2" dataDxfId="42"/>
    <tableColumn id="3" xr3:uid="{D0E52E4F-E4F6-433D-A477-89A70473D103}" name="Common Name" dataDxfId="41">
      <calculatedColumnFormula array="1">getcountrycommonname(CountryTable[[#This Row],[ISO2]])</calculatedColumnFormula>
    </tableColumn>
    <tableColumn id="4" xr3:uid="{5FD3170C-151F-4886-9090-9337AFFF7680}" name="Official Name" dataDxfId="40">
      <calculatedColumnFormula array="1">getcountryformalname(CountryTable[[#This Row],[ISO2]])</calculatedColumnFormula>
    </tableColumn>
    <tableColumn id="5" xr3:uid="{3DFABC9B-34FB-4B1A-BF3E-5FB2D834C618}" name="Population" dataDxfId="39" dataCellStyle="Komma">
      <calculatedColumnFormula array="1">GetCountryPopulation(CountryTable[[#This Row],[ISO2]])</calculatedColumnFormula>
    </tableColumn>
    <tableColumn id="6" xr3:uid="{15302429-5002-4453-B9B5-132FFBBBC201}" name="Area [km²]" dataDxfId="38" dataCellStyle="Komma">
      <calculatedColumnFormula array="1">getcountryarea(CountryTable[[#This Row],[ISO2]])</calculatedColumnFormula>
    </tableColumn>
    <tableColumn id="7" xr3:uid="{B64A3635-5FD9-41FA-8B5E-C3E87586DC80}" name="Capital" dataDxfId="37">
      <calculatedColumnFormula array="1">getcountrycapital(CountryTable[[#This Row],[ISO2]])</calculatedColumnFormula>
    </tableColumn>
    <tableColumn id="8" xr3:uid="{7289DFD4-167B-4F84-8504-79CBD6538010}" name="Visits" dataDxfId="36">
      <calculatedColumnFormula array="1">IF(ISERROR(INDEX(_xlfn._xlws.FILTER(TripTable[Trip Name], TripTable[Country]=CountryTable[[#This Row],[Common Name]]), 1)), 0, COUNTA(_xlfn.UNIQUE(_xlfn._xlws.FILTER(TripTable[Trip Name], TripTable[Country]=CountryTable[[#This Row],[Common Name]]))))</calculatedColumnFormula>
    </tableColumn>
    <tableColumn id="11" xr3:uid="{9E7FB970-E652-4D56-8185-1AF664E2BDB4}" name="First Visit" dataDxfId="35">
      <calculatedColumnFormula>IF(COUNTIFS(TripTable[Country],CountryTable[[#This Row],[Common Name]])=0,"",TEXT(_xlfn.MINIFS(TripTable[Date],TripTable[Country],CountryTable[[#This Row],[Common Name]]),"MMM JJJJ"))</calculatedColumnFormula>
    </tableColumn>
    <tableColumn id="12" xr3:uid="{9B0F11B3-A2E6-4038-BE58-2B699CE16DA6}" name="Last Visit" dataDxfId="34">
      <calculatedColumnFormula>IF(COUNTIFS(TripTable[Country],CountryTable[[#This Row],[Common Name]])=0,"",TEXT(_xlfn.MAXIFS(TripTable[Date],TripTable[Country],CountryTable[[#This Row],[Common Name]]),"MMM JJJJ"))</calculatedColumnFormula>
    </tableColumn>
    <tableColumn id="9" xr3:uid="{76ABAE47-EBB2-4AB9-949B-D7BA041E4B98}" name="Wiki Page" dataDxfId="33">
      <calculatedColumnFormula>"https://en.wikipedia.org/wiki/" &amp; SUBSTITUTE(CountryTable[[#This Row],[Common Name]]," ","_")</calculatedColumnFormula>
    </tableColumn>
    <tableColumn id="10" xr3:uid="{4948B9B0-CF4E-4AC2-B25A-3797C6E1B4CD}" name="Flag" dataDxfId="32">
      <calculatedColumnFormula>_xlfn.IMAGE("https://flagsapi.com/" &amp; A2 &amp; "/flat/64.png", "Flag of " &amp; A2,0)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9375126-31A2-4734-96E4-351B75BBF820}" name="TripTable" displayName="TripTable" ref="A1:G2" totalsRowShown="0" headerRowDxfId="31" dataDxfId="30">
  <autoFilter ref="A1:G2" xr:uid="{29375126-31A2-4734-96E4-351B75BBF820}"/>
  <sortState xmlns:xlrd2="http://schemas.microsoft.com/office/spreadsheetml/2017/richdata2" ref="A2:G2">
    <sortCondition ref="D1:D2"/>
  </sortState>
  <tableColumns count="7">
    <tableColumn id="1" xr3:uid="{9CD261CD-A449-49CF-9B03-3DEFD9E297A5}" name="Year" dataDxfId="29"/>
    <tableColumn id="2" xr3:uid="{24E7F84A-1307-4F0B-AE91-34645D27DCC8}" name="Month" dataDxfId="28"/>
    <tableColumn id="6" xr3:uid="{ADC5AC30-5342-42E3-8FE0-B10D0857459E}" name="Date" dataDxfId="27">
      <calculatedColumnFormula>DATE(TripTable[[#This Row],[Year]],TripTable[[#This Row],[Month]],1)</calculatedColumnFormula>
    </tableColumn>
    <tableColumn id="3" xr3:uid="{32A2DD3E-69C3-4263-8C38-4BB079870BD4}" name="Trip Name" dataDxfId="26"/>
    <tableColumn id="4" xr3:uid="{22A9873E-7A3E-47CE-92D0-878B446C6FA4}" name="Country" dataDxfId="25"/>
    <tableColumn id="5" xr3:uid="{687E7EC5-2D7C-4A94-9067-A8084C32A4FE}" name="City" dataDxfId="24"/>
    <tableColumn id="7" xr3:uid="{7210EB8F-1E88-4E62-AAD6-A38AA0BFCEA4}" name="Comment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BEFF89-59BC-4C91-AD6C-C0958D6385CE}" name="ByYearTable" displayName="ByYearTable" ref="A1:E14" totalsRowShown="0" headerRowDxfId="22" dataDxfId="21">
  <autoFilter ref="A1:E14" xr:uid="{CFBEFF89-59BC-4C91-AD6C-C0958D6385CE}"/>
  <tableColumns count="5">
    <tableColumn id="1" xr3:uid="{B0CD8D13-2805-40BD-9F1A-C1046933DB93}" name="Year" dataDxfId="20"/>
    <tableColumn id="4" xr3:uid="{2AAE1181-1F14-41B9-9F43-B0EFCD986003}" name="# Countries" dataDxfId="19">
      <calculatedColumnFormula array="1">IF(ByYearTable[[#This Row],[Countries]]="-",0,COUNTA(_xlfn.UNIQUE(_xlfn._xlws.FILTER(TripTable[Country], (TripTable[Year]=ByYearTable[[#This Row],[Year]])*(TripTable[Country]&lt;&gt;"")))))</calculatedColumnFormula>
    </tableColumn>
    <tableColumn id="2" xr3:uid="{090904DC-12FD-46E0-BAB3-3265F5BA376C}" name="# New Countries" dataDxfId="18">
      <calculatedColumnFormula array="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calculatedColumnFormula>
    </tableColumn>
    <tableColumn id="5" xr3:uid="{4CCE6147-E3BB-41FB-92B5-CBFF64DE088C}" name="Countries" dataDxfId="17">
      <calculatedColumnFormula array="1">IFERROR(_xlfn.TEXTJOIN("; ", TRUE, _xlfn.UNIQUE(_xlfn._xlws.FILTER(TripTable[Country], (TripTable[Year]=ByYearTable[[#This Row],[Year]])*(TripTable[Country]&lt;&gt;"")))),"-")</calculatedColumnFormula>
    </tableColumn>
    <tableColumn id="3" xr3:uid="{D4CC93DB-1CEA-40D8-9CB2-BECFDE6D2482}" name="New Countries" dataDxfId="16">
      <calculatedColumnFormula array="1">IFERROR(_xlfn.TEXTJOIN("; ",TRUE, _xlfn.UNIQUE(_xlfn._xlws.FILTER(TripTable[Country],(TripTable[Year]=ByYearTable[[#This Row],[Year]])*(TripTable[Year]=_xlfn.MAP(TripTable[Country],_xlfn.LAMBDA(_xlpm.c,_xlfn.MINIFS(TripTable[Year],TripTable[Country], _xlpm.c))))
))), "-")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0B0DE62-AF11-481B-AEEB-5FB8173D0442}" name="AirportTable" displayName="AirportTable" ref="A1:I3" totalsRowShown="0" headerRowDxfId="15" dataDxfId="14">
  <autoFilter ref="A1:I3" xr:uid="{90B0DE62-AF11-481B-AEEB-5FB8173D0442}"/>
  <sortState xmlns:xlrd2="http://schemas.microsoft.com/office/spreadsheetml/2017/richdata2" ref="A2:I3">
    <sortCondition ref="C1:C3"/>
  </sortState>
  <tableColumns count="9">
    <tableColumn id="1" xr3:uid="{9F727D60-B4CA-4D05-B497-E9B4A9EE3610}" name="City" dataDxfId="13">
      <calculatedColumnFormula array="1">GetAirportField(AirportTable[[#This Row],[IATA Code]],"city")</calculatedColumnFormula>
    </tableColumn>
    <tableColumn id="2" xr3:uid="{2A4A0EA1-E2AE-4DCD-A44D-E5A69A8281A4}" name="Full Name" dataDxfId="12">
      <calculatedColumnFormula array="1">GetAirportField(AirportTable[[#This Row],[IATA Code]],"name")</calculatedColumnFormula>
    </tableColumn>
    <tableColumn id="3" xr3:uid="{F9D79C78-73A1-4EFD-9A77-75A75411DAE7}" name="ISO2" dataDxfId="11">
      <calculatedColumnFormula array="1">GetAirportField(AirportTable[[#This Row],[IATA Code]],"country")</calculatedColumnFormula>
    </tableColumn>
    <tableColumn id="4" xr3:uid="{E6BDF123-3DA2-4BAF-949C-7826DFA91F42}" name="IATA Code" dataDxfId="10"/>
    <tableColumn id="5" xr3:uid="{023643EE-22A6-4C36-ACF5-176D80FD75FD}" name="Lat" dataDxfId="9">
      <calculatedColumnFormula array="1">GetAirportField(AirportTable[[#This Row],[IATA Code]],"lat")</calculatedColumnFormula>
    </tableColumn>
    <tableColumn id="6" xr3:uid="{EE37166C-336A-4FF4-BCE2-66DAF1F52C6A}" name="Lon" dataDxfId="8">
      <calculatedColumnFormula array="1">GetAirportField(AirportTable[[#This Row],[IATA Code]],"lon")</calculatedColumnFormula>
    </tableColumn>
    <tableColumn id="7" xr3:uid="{8EFF6EE5-7A17-4A23-9ADE-A862F60988C7}" name="Departures" dataDxfId="7">
      <calculatedColumnFormula>COUNTIF(Flights!D:D,AirportTable[[#This Row],[IATA Code]])</calculatedColumnFormula>
    </tableColumn>
    <tableColumn id="9" xr3:uid="{F23AD5E1-008E-479A-9210-0D6CBF004780}" name="Arrivals" dataDxfId="6">
      <calculatedColumnFormula>COUNTIF(Flights!E:E,AirportTable[[#This Row],[IATA Code]])</calculatedColumnFormula>
    </tableColumn>
    <tableColumn id="8" xr3:uid="{48C5746C-D448-4B70-A183-70508D5C957A}" name="Wiki Page" dataDxfId="5">
      <calculatedColumnFormula>"https://en.wikipedia.org/wiki/" &amp; SUBSTITUTE(AirportTable[[#This Row],[Full Name]]," ","_")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CC660B5-D82E-47D5-847C-FA993C99C802}" name="FlightTable" displayName="FlightTable" ref="A1:L3" totalsRowShown="0" headerRowDxfId="4">
  <autoFilter ref="A1:L3" xr:uid="{BCC660B5-D82E-47D5-847C-FA993C99C802}"/>
  <sortState xmlns:xlrd2="http://schemas.microsoft.com/office/spreadsheetml/2017/richdata2" ref="A2:L3">
    <sortCondition ref="A1:A3"/>
  </sortState>
  <tableColumns count="12">
    <tableColumn id="14" xr3:uid="{9591FA45-ACED-4CBE-986E-3ABF3858761E}" name="Date" dataDxfId="3">
      <calculatedColumnFormula>DATE(FlightTable[[#This Row],[Year]],FlightTable[[#This Row],[Month]],1)</calculatedColumnFormula>
    </tableColumn>
    <tableColumn id="1" xr3:uid="{20A44235-2849-443F-A9A3-27FFF9366B94}" name="Year" dataDxfId="2"/>
    <tableColumn id="2" xr3:uid="{D1395105-E468-43FC-96E2-A7C9909897C3}" name="Month"/>
    <tableColumn id="3" xr3:uid="{CE31E8FA-4857-4FB4-B3D3-BA8B6E282A90}" name="Origin IATA"/>
    <tableColumn id="4" xr3:uid="{3A9EA5E4-AD40-4909-A00C-6D32BBD59AB4}" name="Destination IATA"/>
    <tableColumn id="6" xr3:uid="{BD90296D-C8E2-43CF-8143-192CC1BEEA28}" name="Origin City"/>
    <tableColumn id="7" xr3:uid="{8256D683-BDA2-4AEF-B23D-8F271AE3A998}" name="Destination City"/>
    <tableColumn id="9" xr3:uid="{77B9C65F-124D-4AE4-A76F-37C18AE28EE1}" name="Origin Country"/>
    <tableColumn id="8" xr3:uid="{50CF7F07-FCC3-45E8-B44B-810949CEC2E8}" name="Destination Country"/>
    <tableColumn id="11" xr3:uid="{6FCF0D8F-0905-4503-ACFD-29F59E557895}" name="Airline" dataDxfId="1"/>
    <tableColumn id="12" xr3:uid="{C2D80F1A-57CC-449A-9FE1-1CF7F9ABA571}" name="ICAO" dataDxfId="0">
      <calculatedColumnFormula>_xlfn.XLOOKUP(FlightTable[[#This Row],[Airline]], AirlineTable[Name], AirlineTable[ICAO], "")</calculatedColumnFormula>
    </tableColumn>
    <tableColumn id="5" xr3:uid="{DBB7B56E-C2B7-4741-9826-E69F63B4D5A7}" name="Trip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5F7AEE-45F3-451E-9119-97A232751A41}" name="AirlineTable" displayName="AirlineTable" ref="A1:F35" totalsRowShown="0">
  <autoFilter ref="A1:F35" xr:uid="{235F7AEE-45F3-451E-9119-97A232751A41}"/>
  <tableColumns count="6">
    <tableColumn id="1" xr3:uid="{0D2F9A7E-1E85-4E68-905D-75E01141D2C6}" name="IATA"/>
    <tableColumn id="2" xr3:uid="{7D6C3FDE-6713-4C2C-8B25-127BE0CCE05D}" name="ICAO"/>
    <tableColumn id="3" xr3:uid="{523D7B85-8188-4E19-975A-6C47293F3CCD}" name="Name"/>
    <tableColumn id="4" xr3:uid="{C260EF44-533F-41F3-9391-DB23375E34E4}" name="Country"/>
    <tableColumn id="5" xr3:uid="{5DCE1BB8-141E-40B2-9597-DD72471DFDF0}" name="Main Hub"/>
    <tableColumn id="6" xr3:uid="{CDE954F4-5371-4B02-B154-F554BC0D47A2}" name="Logo UR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en.wikipedia.org/wiki/Ethiopia" TargetMode="External"/><Relationship Id="rId21" Type="http://schemas.openxmlformats.org/officeDocument/2006/relationships/hyperlink" Target="https://en.wikipedia.org/wiki/Luxembourg" TargetMode="External"/><Relationship Id="rId42" Type="http://schemas.openxmlformats.org/officeDocument/2006/relationships/hyperlink" Target="https://en.wikipedia.org/wiki/Sweden" TargetMode="External"/><Relationship Id="rId63" Type="http://schemas.openxmlformats.org/officeDocument/2006/relationships/hyperlink" Target="https://en.wikipedia.org/wiki/American_Samoa" TargetMode="External"/><Relationship Id="rId84" Type="http://schemas.openxmlformats.org/officeDocument/2006/relationships/hyperlink" Target="https://en.wikipedia.org/wiki/Botswana" TargetMode="External"/><Relationship Id="rId138" Type="http://schemas.openxmlformats.org/officeDocument/2006/relationships/hyperlink" Target="https://en.wikipedia.org/wiki/India" TargetMode="External"/><Relationship Id="rId159" Type="http://schemas.openxmlformats.org/officeDocument/2006/relationships/hyperlink" Target="https://en.wikipedia.org/wiki/Malawi" TargetMode="External"/><Relationship Id="rId170" Type="http://schemas.openxmlformats.org/officeDocument/2006/relationships/hyperlink" Target="https://en.wikipedia.org/wiki/Morocco" TargetMode="External"/><Relationship Id="rId191" Type="http://schemas.openxmlformats.org/officeDocument/2006/relationships/hyperlink" Target="https://en.wikipedia.org/wiki/Peru" TargetMode="External"/><Relationship Id="rId205" Type="http://schemas.openxmlformats.org/officeDocument/2006/relationships/hyperlink" Target="https://en.wikipedia.org/wiki/S&#227;o_Tom&#233;_and_Pr&#237;ncipe" TargetMode="External"/><Relationship Id="rId226" Type="http://schemas.openxmlformats.org/officeDocument/2006/relationships/hyperlink" Target="https://en.wikipedia.org/wiki/Trinidad_and_Tobago" TargetMode="External"/><Relationship Id="rId107" Type="http://schemas.openxmlformats.org/officeDocument/2006/relationships/hyperlink" Target="https://en.wikipedia.org/wiki/Dominica" TargetMode="External"/><Relationship Id="rId11" Type="http://schemas.openxmlformats.org/officeDocument/2006/relationships/hyperlink" Target="https://en.wikipedia.org/wiki/Greece" TargetMode="External"/><Relationship Id="rId32" Type="http://schemas.openxmlformats.org/officeDocument/2006/relationships/hyperlink" Target="https://en.wikipedia.org/wiki/Philippines" TargetMode="External"/><Relationship Id="rId53" Type="http://schemas.openxmlformats.org/officeDocument/2006/relationships/hyperlink" Target="https://en.wikipedia.org/wiki/Northern_Cyprus" TargetMode="External"/><Relationship Id="rId74" Type="http://schemas.openxmlformats.org/officeDocument/2006/relationships/hyperlink" Target="https://en.wikipedia.org/wiki/Bahamas" TargetMode="External"/><Relationship Id="rId128" Type="http://schemas.openxmlformats.org/officeDocument/2006/relationships/hyperlink" Target="https://en.wikipedia.org/wiki/Grenada" TargetMode="External"/><Relationship Id="rId149" Type="http://schemas.openxmlformats.org/officeDocument/2006/relationships/hyperlink" Target="https://en.wikipedia.org/wiki/Kiribati" TargetMode="External"/><Relationship Id="rId5" Type="http://schemas.openxmlformats.org/officeDocument/2006/relationships/hyperlink" Target="https://en.wikipedia.org/wiki/Canada" TargetMode="External"/><Relationship Id="rId95" Type="http://schemas.openxmlformats.org/officeDocument/2006/relationships/hyperlink" Target="https://en.wikipedia.org/wiki/Central_African_Republic" TargetMode="External"/><Relationship Id="rId160" Type="http://schemas.openxmlformats.org/officeDocument/2006/relationships/hyperlink" Target="https://en.wikipedia.org/wiki/Maldives" TargetMode="External"/><Relationship Id="rId181" Type="http://schemas.openxmlformats.org/officeDocument/2006/relationships/hyperlink" Target="https://en.wikipedia.org/wiki/Norfolk_Island" TargetMode="External"/><Relationship Id="rId216" Type="http://schemas.openxmlformats.org/officeDocument/2006/relationships/hyperlink" Target="https://en.wikipedia.org/wiki/Sudan" TargetMode="External"/><Relationship Id="rId237" Type="http://schemas.openxmlformats.org/officeDocument/2006/relationships/hyperlink" Target="https://en.wikipedia.org/wiki/Vatican" TargetMode="External"/><Relationship Id="rId22" Type="http://schemas.openxmlformats.org/officeDocument/2006/relationships/hyperlink" Target="https://en.wikipedia.org/wiki/Macau" TargetMode="External"/><Relationship Id="rId43" Type="http://schemas.openxmlformats.org/officeDocument/2006/relationships/hyperlink" Target="https://en.wikipedia.org/wiki/Switzerland" TargetMode="External"/><Relationship Id="rId64" Type="http://schemas.openxmlformats.org/officeDocument/2006/relationships/hyperlink" Target="https://en.wikipedia.org/wiki/Andorra" TargetMode="External"/><Relationship Id="rId118" Type="http://schemas.openxmlformats.org/officeDocument/2006/relationships/hyperlink" Target="https://en.wikipedia.org/wiki/Falkland_Islands" TargetMode="External"/><Relationship Id="rId139" Type="http://schemas.openxmlformats.org/officeDocument/2006/relationships/hyperlink" Target="https://en.wikipedia.org/wiki/Iran" TargetMode="External"/><Relationship Id="rId85" Type="http://schemas.openxmlformats.org/officeDocument/2006/relationships/hyperlink" Target="https://en.wikipedia.org/wiki/Brazil" TargetMode="External"/><Relationship Id="rId150" Type="http://schemas.openxmlformats.org/officeDocument/2006/relationships/hyperlink" Target="https://en.wikipedia.org/wiki/Kuwait" TargetMode="External"/><Relationship Id="rId171" Type="http://schemas.openxmlformats.org/officeDocument/2006/relationships/hyperlink" Target="https://en.wikipedia.org/wiki/Mozambique" TargetMode="External"/><Relationship Id="rId192" Type="http://schemas.openxmlformats.org/officeDocument/2006/relationships/hyperlink" Target="https://en.wikipedia.org/wiki/Pitcairn_Islands" TargetMode="External"/><Relationship Id="rId206" Type="http://schemas.openxmlformats.org/officeDocument/2006/relationships/hyperlink" Target="https://en.wikipedia.org/wiki/Saudi_Arabia" TargetMode="External"/><Relationship Id="rId227" Type="http://schemas.openxmlformats.org/officeDocument/2006/relationships/hyperlink" Target="https://en.wikipedia.org/wiki/Tunisia" TargetMode="External"/><Relationship Id="rId12" Type="http://schemas.openxmlformats.org/officeDocument/2006/relationships/hyperlink" Target="https://en.wikipedia.org/wiki/Hong_Kong" TargetMode="External"/><Relationship Id="rId33" Type="http://schemas.openxmlformats.org/officeDocument/2006/relationships/hyperlink" Target="https://en.wikipedia.org/wiki/Poland" TargetMode="External"/><Relationship Id="rId108" Type="http://schemas.openxmlformats.org/officeDocument/2006/relationships/hyperlink" Target="https://en.wikipedia.org/wiki/Dominican_Republic" TargetMode="External"/><Relationship Id="rId129" Type="http://schemas.openxmlformats.org/officeDocument/2006/relationships/hyperlink" Target="https://en.wikipedia.org/wiki/Guadeloupe" TargetMode="External"/><Relationship Id="rId54" Type="http://schemas.openxmlformats.org/officeDocument/2006/relationships/hyperlink" Target="https://en.wikipedia.org/wiki/New_Zealand" TargetMode="External"/><Relationship Id="rId75" Type="http://schemas.openxmlformats.org/officeDocument/2006/relationships/hyperlink" Target="https://en.wikipedia.org/wiki/Bahrain" TargetMode="External"/><Relationship Id="rId96" Type="http://schemas.openxmlformats.org/officeDocument/2006/relationships/hyperlink" Target="https://en.wikipedia.org/wiki/Chad" TargetMode="External"/><Relationship Id="rId140" Type="http://schemas.openxmlformats.org/officeDocument/2006/relationships/hyperlink" Target="https://en.wikipedia.org/wiki/Iraq" TargetMode="External"/><Relationship Id="rId161" Type="http://schemas.openxmlformats.org/officeDocument/2006/relationships/hyperlink" Target="https://en.wikipedia.org/wiki/Mali" TargetMode="External"/><Relationship Id="rId182" Type="http://schemas.openxmlformats.org/officeDocument/2006/relationships/hyperlink" Target="https://en.wikipedia.org/wiki/North_Korea" TargetMode="External"/><Relationship Id="rId217" Type="http://schemas.openxmlformats.org/officeDocument/2006/relationships/hyperlink" Target="https://en.wikipedia.org/wiki/Suriname" TargetMode="External"/><Relationship Id="rId6" Type="http://schemas.openxmlformats.org/officeDocument/2006/relationships/hyperlink" Target="https://en.wikipedia.org/wiki/Croatia" TargetMode="External"/><Relationship Id="rId238" Type="http://schemas.openxmlformats.org/officeDocument/2006/relationships/hyperlink" Target="https://en.wikipedia.org/wiki/Venezuela" TargetMode="External"/><Relationship Id="rId23" Type="http://schemas.openxmlformats.org/officeDocument/2006/relationships/hyperlink" Target="https://en.wikipedia.org/wiki/Malaysia" TargetMode="External"/><Relationship Id="rId119" Type="http://schemas.openxmlformats.org/officeDocument/2006/relationships/hyperlink" Target="https://en.wikipedia.org/wiki/Faroe_Islands" TargetMode="External"/><Relationship Id="rId44" Type="http://schemas.openxmlformats.org/officeDocument/2006/relationships/hyperlink" Target="https://en.wikipedia.org/wiki/Thailand" TargetMode="External"/><Relationship Id="rId65" Type="http://schemas.openxmlformats.org/officeDocument/2006/relationships/hyperlink" Target="https://en.wikipedia.org/wiki/Angola" TargetMode="External"/><Relationship Id="rId86" Type="http://schemas.openxmlformats.org/officeDocument/2006/relationships/hyperlink" Target="https://en.wikipedia.org/wiki/British_Virgin_Islands" TargetMode="External"/><Relationship Id="rId130" Type="http://schemas.openxmlformats.org/officeDocument/2006/relationships/hyperlink" Target="https://en.wikipedia.org/wiki/Guam" TargetMode="External"/><Relationship Id="rId151" Type="http://schemas.openxmlformats.org/officeDocument/2006/relationships/hyperlink" Target="https://en.wikipedia.org/wiki/Kyrgyzstan" TargetMode="External"/><Relationship Id="rId172" Type="http://schemas.openxmlformats.org/officeDocument/2006/relationships/hyperlink" Target="https://en.wikipedia.org/wiki/Myanmar" TargetMode="External"/><Relationship Id="rId193" Type="http://schemas.openxmlformats.org/officeDocument/2006/relationships/hyperlink" Target="https://en.wikipedia.org/wiki/Puerto_Rico" TargetMode="External"/><Relationship Id="rId207" Type="http://schemas.openxmlformats.org/officeDocument/2006/relationships/hyperlink" Target="https://en.wikipedia.org/wiki/Senegal" TargetMode="External"/><Relationship Id="rId228" Type="http://schemas.openxmlformats.org/officeDocument/2006/relationships/hyperlink" Target="https://en.wikipedia.org/wiki/Turkmenistan" TargetMode="External"/><Relationship Id="rId13" Type="http://schemas.openxmlformats.org/officeDocument/2006/relationships/hyperlink" Target="https://en.wikipedia.org/wiki/Hungary" TargetMode="External"/><Relationship Id="rId109" Type="http://schemas.openxmlformats.org/officeDocument/2006/relationships/hyperlink" Target="https://en.wikipedia.org/wiki/DRC" TargetMode="External"/><Relationship Id="rId34" Type="http://schemas.openxmlformats.org/officeDocument/2006/relationships/hyperlink" Target="https://en.wikipedia.org/wiki/Portugal" TargetMode="External"/><Relationship Id="rId55" Type="http://schemas.openxmlformats.org/officeDocument/2006/relationships/hyperlink" Target="https://en.wikipedia.org/wiki/Georgia" TargetMode="External"/><Relationship Id="rId76" Type="http://schemas.openxmlformats.org/officeDocument/2006/relationships/hyperlink" Target="https://en.wikipedia.org/wiki/Bangladesh" TargetMode="External"/><Relationship Id="rId97" Type="http://schemas.openxmlformats.org/officeDocument/2006/relationships/hyperlink" Target="https://en.wikipedia.org/wiki/Chile" TargetMode="External"/><Relationship Id="rId120" Type="http://schemas.openxmlformats.org/officeDocument/2006/relationships/hyperlink" Target="https://en.wikipedia.org/wiki/Fiji" TargetMode="External"/><Relationship Id="rId141" Type="http://schemas.openxmlformats.org/officeDocument/2006/relationships/hyperlink" Target="https://en.wikipedia.org/wiki/Isle_of_Man" TargetMode="External"/><Relationship Id="rId7" Type="http://schemas.openxmlformats.org/officeDocument/2006/relationships/hyperlink" Target="https://en.wikipedia.org/wiki/Denmark" TargetMode="External"/><Relationship Id="rId162" Type="http://schemas.openxmlformats.org/officeDocument/2006/relationships/hyperlink" Target="https://en.wikipedia.org/wiki/Marshall_Islands" TargetMode="External"/><Relationship Id="rId183" Type="http://schemas.openxmlformats.org/officeDocument/2006/relationships/hyperlink" Target="https://en.wikipedia.org/wiki/North_Macedonia" TargetMode="External"/><Relationship Id="rId218" Type="http://schemas.openxmlformats.org/officeDocument/2006/relationships/hyperlink" Target="https://en.wikipedia.org/wiki/Svalbard_and_Jan_Mayen" TargetMode="External"/><Relationship Id="rId239" Type="http://schemas.openxmlformats.org/officeDocument/2006/relationships/hyperlink" Target="https://en.wikipedia.org/wiki/Wallis_and_Futuna" TargetMode="External"/><Relationship Id="rId24" Type="http://schemas.openxmlformats.org/officeDocument/2006/relationships/hyperlink" Target="https://en.wikipedia.org/wiki/Malta" TargetMode="External"/><Relationship Id="rId45" Type="http://schemas.openxmlformats.org/officeDocument/2006/relationships/hyperlink" Target="https://en.wikipedia.org/wiki/Turkey" TargetMode="External"/><Relationship Id="rId66" Type="http://schemas.openxmlformats.org/officeDocument/2006/relationships/hyperlink" Target="https://en.wikipedia.org/wiki/Anguilla" TargetMode="External"/><Relationship Id="rId87" Type="http://schemas.openxmlformats.org/officeDocument/2006/relationships/hyperlink" Target="https://en.wikipedia.org/wiki/Brunei" TargetMode="External"/><Relationship Id="rId110" Type="http://schemas.openxmlformats.org/officeDocument/2006/relationships/hyperlink" Target="https://en.wikipedia.org/wiki/Ecuador" TargetMode="External"/><Relationship Id="rId131" Type="http://schemas.openxmlformats.org/officeDocument/2006/relationships/hyperlink" Target="https://en.wikipedia.org/wiki/Guatemala" TargetMode="External"/><Relationship Id="rId152" Type="http://schemas.openxmlformats.org/officeDocument/2006/relationships/hyperlink" Target="https://en.wikipedia.org/wiki/Latvia" TargetMode="External"/><Relationship Id="rId173" Type="http://schemas.openxmlformats.org/officeDocument/2006/relationships/hyperlink" Target="https://en.wikipedia.org/wiki/Namibia" TargetMode="External"/><Relationship Id="rId194" Type="http://schemas.openxmlformats.org/officeDocument/2006/relationships/hyperlink" Target="https://en.wikipedia.org/wiki/Qatar" TargetMode="External"/><Relationship Id="rId208" Type="http://schemas.openxmlformats.org/officeDocument/2006/relationships/hyperlink" Target="https://en.wikipedia.org/wiki/Seychelles" TargetMode="External"/><Relationship Id="rId229" Type="http://schemas.openxmlformats.org/officeDocument/2006/relationships/hyperlink" Target="https://en.wikipedia.org/wiki/Turks_and_Caicos_Islands" TargetMode="External"/><Relationship Id="rId240" Type="http://schemas.openxmlformats.org/officeDocument/2006/relationships/hyperlink" Target="https://en.wikipedia.org/wiki/Western_Sahara" TargetMode="External"/><Relationship Id="rId14" Type="http://schemas.openxmlformats.org/officeDocument/2006/relationships/hyperlink" Target="https://en.wikipedia.org/wiki/Iceland" TargetMode="External"/><Relationship Id="rId35" Type="http://schemas.openxmlformats.org/officeDocument/2006/relationships/hyperlink" Target="https://en.wikipedia.org/wiki/Romania" TargetMode="External"/><Relationship Id="rId56" Type="http://schemas.openxmlformats.org/officeDocument/2006/relationships/hyperlink" Target="https://en.wikipedia.org/wiki/Czechia" TargetMode="External"/><Relationship Id="rId77" Type="http://schemas.openxmlformats.org/officeDocument/2006/relationships/hyperlink" Target="https://en.wikipedia.org/wiki/Barbados" TargetMode="External"/><Relationship Id="rId100" Type="http://schemas.openxmlformats.org/officeDocument/2006/relationships/hyperlink" Target="https://en.wikipedia.org/wiki/Colombia" TargetMode="External"/><Relationship Id="rId8" Type="http://schemas.openxmlformats.org/officeDocument/2006/relationships/hyperlink" Target="https://en.wikipedia.org/wiki/France" TargetMode="External"/><Relationship Id="rId98" Type="http://schemas.openxmlformats.org/officeDocument/2006/relationships/hyperlink" Target="https://en.wikipedia.org/wiki/Christmas_Island" TargetMode="External"/><Relationship Id="rId121" Type="http://schemas.openxmlformats.org/officeDocument/2006/relationships/hyperlink" Target="https://en.wikipedia.org/wiki/Finland" TargetMode="External"/><Relationship Id="rId142" Type="http://schemas.openxmlformats.org/officeDocument/2006/relationships/hyperlink" Target="https://en.wikipedia.org/wiki/Israel" TargetMode="External"/><Relationship Id="rId163" Type="http://schemas.openxmlformats.org/officeDocument/2006/relationships/hyperlink" Target="https://en.wikipedia.org/wiki/Martinique" TargetMode="External"/><Relationship Id="rId184" Type="http://schemas.openxmlformats.org/officeDocument/2006/relationships/hyperlink" Target="https://en.wikipedia.org/wiki/Northern_Mariana_Islands" TargetMode="External"/><Relationship Id="rId219" Type="http://schemas.openxmlformats.org/officeDocument/2006/relationships/hyperlink" Target="https://en.wikipedia.org/wiki/Syria" TargetMode="External"/><Relationship Id="rId230" Type="http://schemas.openxmlformats.org/officeDocument/2006/relationships/hyperlink" Target="https://en.wikipedia.org/wiki/Tuvalu" TargetMode="External"/><Relationship Id="rId25" Type="http://schemas.openxmlformats.org/officeDocument/2006/relationships/hyperlink" Target="https://en.wikipedia.org/wiki/Mexico" TargetMode="External"/><Relationship Id="rId46" Type="http://schemas.openxmlformats.org/officeDocument/2006/relationships/hyperlink" Target="https://en.wikipedia.org/wiki/Vietnam" TargetMode="External"/><Relationship Id="rId67" Type="http://schemas.openxmlformats.org/officeDocument/2006/relationships/hyperlink" Target="https://en.wikipedia.org/wiki/Antarctica" TargetMode="External"/><Relationship Id="rId88" Type="http://schemas.openxmlformats.org/officeDocument/2006/relationships/hyperlink" Target="https://en.wikipedia.org/wiki/Bulgaria" TargetMode="External"/><Relationship Id="rId111" Type="http://schemas.openxmlformats.org/officeDocument/2006/relationships/hyperlink" Target="https://en.wikipedia.org/wiki/Egypt" TargetMode="External"/><Relationship Id="rId132" Type="http://schemas.openxmlformats.org/officeDocument/2006/relationships/hyperlink" Target="https://en.wikipedia.org/wiki/Guernsey" TargetMode="External"/><Relationship Id="rId153" Type="http://schemas.openxmlformats.org/officeDocument/2006/relationships/hyperlink" Target="https://en.wikipedia.org/wiki/Lebanon" TargetMode="External"/><Relationship Id="rId174" Type="http://schemas.openxmlformats.org/officeDocument/2006/relationships/hyperlink" Target="https://en.wikipedia.org/wiki/Nauru" TargetMode="External"/><Relationship Id="rId195" Type="http://schemas.openxmlformats.org/officeDocument/2006/relationships/hyperlink" Target="https://en.wikipedia.org/wiki/R&#233;union" TargetMode="External"/><Relationship Id="rId209" Type="http://schemas.openxmlformats.org/officeDocument/2006/relationships/hyperlink" Target="https://en.wikipedia.org/wiki/Sierra_Leone" TargetMode="External"/><Relationship Id="rId220" Type="http://schemas.openxmlformats.org/officeDocument/2006/relationships/hyperlink" Target="https://en.wikipedia.org/wiki/Tajikistan" TargetMode="External"/><Relationship Id="rId241" Type="http://schemas.openxmlformats.org/officeDocument/2006/relationships/hyperlink" Target="https://en.wikipedia.org/wiki/Yemen" TargetMode="External"/><Relationship Id="rId15" Type="http://schemas.openxmlformats.org/officeDocument/2006/relationships/hyperlink" Target="https://en.wikipedia.org/wiki/Indonesia" TargetMode="External"/><Relationship Id="rId36" Type="http://schemas.openxmlformats.org/officeDocument/2006/relationships/hyperlink" Target="https://en.wikipedia.org/wiki/Russia" TargetMode="External"/><Relationship Id="rId57" Type="http://schemas.openxmlformats.org/officeDocument/2006/relationships/hyperlink" Target="https://en.wikipedia.org/wiki/Cyprus" TargetMode="External"/><Relationship Id="rId106" Type="http://schemas.openxmlformats.org/officeDocument/2006/relationships/hyperlink" Target="https://en.wikipedia.org/wiki/Djibouti" TargetMode="External"/><Relationship Id="rId127" Type="http://schemas.openxmlformats.org/officeDocument/2006/relationships/hyperlink" Target="https://en.wikipedia.org/wiki/Greenland" TargetMode="External"/><Relationship Id="rId10" Type="http://schemas.openxmlformats.org/officeDocument/2006/relationships/hyperlink" Target="https://en.wikipedia.org/wiki/Gibraltar" TargetMode="External"/><Relationship Id="rId31" Type="http://schemas.openxmlformats.org/officeDocument/2006/relationships/hyperlink" Target="https://en.wikipedia.org/wiki/Panama" TargetMode="External"/><Relationship Id="rId52" Type="http://schemas.openxmlformats.org/officeDocument/2006/relationships/hyperlink" Target="https://en.wikipedia.org/wiki/San_Marino" TargetMode="External"/><Relationship Id="rId73" Type="http://schemas.openxmlformats.org/officeDocument/2006/relationships/hyperlink" Target="https://en.wikipedia.org/wiki/Azerbaijan" TargetMode="External"/><Relationship Id="rId78" Type="http://schemas.openxmlformats.org/officeDocument/2006/relationships/hyperlink" Target="https://en.wikipedia.org/wiki/Belarus" TargetMode="External"/><Relationship Id="rId94" Type="http://schemas.openxmlformats.org/officeDocument/2006/relationships/hyperlink" Target="https://en.wikipedia.org/wiki/Cayman_Islands" TargetMode="External"/><Relationship Id="rId99" Type="http://schemas.openxmlformats.org/officeDocument/2006/relationships/hyperlink" Target="https://en.wikipedia.org/wiki/Cocos_(Keeling)_Islands" TargetMode="External"/><Relationship Id="rId101" Type="http://schemas.openxmlformats.org/officeDocument/2006/relationships/hyperlink" Target="https://en.wikipedia.org/wiki/Comoros" TargetMode="External"/><Relationship Id="rId122" Type="http://schemas.openxmlformats.org/officeDocument/2006/relationships/hyperlink" Target="https://en.wikipedia.org/wiki/French_Guiana" TargetMode="External"/><Relationship Id="rId143" Type="http://schemas.openxmlformats.org/officeDocument/2006/relationships/hyperlink" Target="https://en.wikipedia.org/wiki/Ivory_Coast" TargetMode="External"/><Relationship Id="rId148" Type="http://schemas.openxmlformats.org/officeDocument/2006/relationships/hyperlink" Target="https://en.wikipedia.org/wiki/Kenya" TargetMode="External"/><Relationship Id="rId164" Type="http://schemas.openxmlformats.org/officeDocument/2006/relationships/hyperlink" Target="https://en.wikipedia.org/wiki/Mauritania" TargetMode="External"/><Relationship Id="rId169" Type="http://schemas.openxmlformats.org/officeDocument/2006/relationships/hyperlink" Target="https://en.wikipedia.org/wiki/Montserrat" TargetMode="External"/><Relationship Id="rId185" Type="http://schemas.openxmlformats.org/officeDocument/2006/relationships/hyperlink" Target="https://en.wikipedia.org/wiki/Oman" TargetMode="External"/><Relationship Id="rId4" Type="http://schemas.openxmlformats.org/officeDocument/2006/relationships/hyperlink" Target="https://en.wikipedia.org/wiki/Cambodia" TargetMode="External"/><Relationship Id="rId9" Type="http://schemas.openxmlformats.org/officeDocument/2006/relationships/hyperlink" Target="https://en.wikipedia.org/wiki/Germany" TargetMode="External"/><Relationship Id="rId180" Type="http://schemas.openxmlformats.org/officeDocument/2006/relationships/hyperlink" Target="https://en.wikipedia.org/wiki/Niue" TargetMode="External"/><Relationship Id="rId210" Type="http://schemas.openxmlformats.org/officeDocument/2006/relationships/hyperlink" Target="https://en.wikipedia.org/wiki/Sint_Maarten" TargetMode="External"/><Relationship Id="rId215" Type="http://schemas.openxmlformats.org/officeDocument/2006/relationships/hyperlink" Target="https://en.wikipedia.org/wiki/Sri_Lanka" TargetMode="External"/><Relationship Id="rId236" Type="http://schemas.openxmlformats.org/officeDocument/2006/relationships/hyperlink" Target="https://en.wikipedia.org/wiki/Vanuatu" TargetMode="External"/><Relationship Id="rId26" Type="http://schemas.openxmlformats.org/officeDocument/2006/relationships/hyperlink" Target="https://en.wikipedia.org/wiki/Moldova" TargetMode="External"/><Relationship Id="rId231" Type="http://schemas.openxmlformats.org/officeDocument/2006/relationships/hyperlink" Target="https://en.wikipedia.org/wiki/Uganda" TargetMode="External"/><Relationship Id="rId47" Type="http://schemas.openxmlformats.org/officeDocument/2006/relationships/hyperlink" Target="https://en.wikipedia.org/wiki/United_States" TargetMode="External"/><Relationship Id="rId68" Type="http://schemas.openxmlformats.org/officeDocument/2006/relationships/hyperlink" Target="https://en.wikipedia.org/wiki/Antigua_and_Barbuda" TargetMode="External"/><Relationship Id="rId89" Type="http://schemas.openxmlformats.org/officeDocument/2006/relationships/hyperlink" Target="https://en.wikipedia.org/wiki/Burkina_Faso" TargetMode="External"/><Relationship Id="rId112" Type="http://schemas.openxmlformats.org/officeDocument/2006/relationships/hyperlink" Target="https://en.wikipedia.org/wiki/El_Salvador" TargetMode="External"/><Relationship Id="rId133" Type="http://schemas.openxmlformats.org/officeDocument/2006/relationships/hyperlink" Target="https://en.wikipedia.org/wiki/Guinea" TargetMode="External"/><Relationship Id="rId154" Type="http://schemas.openxmlformats.org/officeDocument/2006/relationships/hyperlink" Target="https://en.wikipedia.org/wiki/Lesotho" TargetMode="External"/><Relationship Id="rId175" Type="http://schemas.openxmlformats.org/officeDocument/2006/relationships/hyperlink" Target="https://en.wikipedia.org/wiki/Nepal" TargetMode="External"/><Relationship Id="rId196" Type="http://schemas.openxmlformats.org/officeDocument/2006/relationships/hyperlink" Target="https://en.wikipedia.org/wiki/Rwanda" TargetMode="External"/><Relationship Id="rId200" Type="http://schemas.openxmlformats.org/officeDocument/2006/relationships/hyperlink" Target="https://en.wikipedia.org/wiki/Saint_Lucia" TargetMode="External"/><Relationship Id="rId16" Type="http://schemas.openxmlformats.org/officeDocument/2006/relationships/hyperlink" Target="https://en.wikipedia.org/wiki/Ireland" TargetMode="External"/><Relationship Id="rId221" Type="http://schemas.openxmlformats.org/officeDocument/2006/relationships/hyperlink" Target="https://en.wikipedia.org/wiki/Tanzania" TargetMode="External"/><Relationship Id="rId242" Type="http://schemas.openxmlformats.org/officeDocument/2006/relationships/hyperlink" Target="https://en.wikipedia.org/wiki/Zambia" TargetMode="External"/><Relationship Id="rId37" Type="http://schemas.openxmlformats.org/officeDocument/2006/relationships/hyperlink" Target="https://en.wikipedia.org/wiki/Serbia" TargetMode="External"/><Relationship Id="rId58" Type="http://schemas.openxmlformats.org/officeDocument/2006/relationships/hyperlink" Target="https://en.wikipedia.org/wiki/Costa_Rica" TargetMode="External"/><Relationship Id="rId79" Type="http://schemas.openxmlformats.org/officeDocument/2006/relationships/hyperlink" Target="https://en.wikipedia.org/wiki/Belize" TargetMode="External"/><Relationship Id="rId102" Type="http://schemas.openxmlformats.org/officeDocument/2006/relationships/hyperlink" Target="https://en.wikipedia.org/wiki/Congo" TargetMode="External"/><Relationship Id="rId123" Type="http://schemas.openxmlformats.org/officeDocument/2006/relationships/hyperlink" Target="https://en.wikipedia.org/wiki/French_Polynesia" TargetMode="External"/><Relationship Id="rId144" Type="http://schemas.openxmlformats.org/officeDocument/2006/relationships/hyperlink" Target="https://en.wikipedia.org/wiki/Jamaica" TargetMode="External"/><Relationship Id="rId90" Type="http://schemas.openxmlformats.org/officeDocument/2006/relationships/hyperlink" Target="https://en.wikipedia.org/wiki/Burundi" TargetMode="External"/><Relationship Id="rId165" Type="http://schemas.openxmlformats.org/officeDocument/2006/relationships/hyperlink" Target="https://en.wikipedia.org/wiki/Mauritius" TargetMode="External"/><Relationship Id="rId186" Type="http://schemas.openxmlformats.org/officeDocument/2006/relationships/hyperlink" Target="https://en.wikipedia.org/wiki/Pakistan" TargetMode="External"/><Relationship Id="rId211" Type="http://schemas.openxmlformats.org/officeDocument/2006/relationships/hyperlink" Target="https://en.wikipedia.org/wiki/Solomon_Islands" TargetMode="External"/><Relationship Id="rId232" Type="http://schemas.openxmlformats.org/officeDocument/2006/relationships/hyperlink" Target="https://en.wikipedia.org/wiki/Ukraine" TargetMode="External"/><Relationship Id="rId27" Type="http://schemas.openxmlformats.org/officeDocument/2006/relationships/hyperlink" Target="https://en.wikipedia.org/wiki/Monaco" TargetMode="External"/><Relationship Id="rId48" Type="http://schemas.openxmlformats.org/officeDocument/2006/relationships/hyperlink" Target="https://en.wikipedia.org/wiki/United_Kingdom" TargetMode="External"/><Relationship Id="rId69" Type="http://schemas.openxmlformats.org/officeDocument/2006/relationships/hyperlink" Target="https://en.wikipedia.org/wiki/Argentina" TargetMode="External"/><Relationship Id="rId113" Type="http://schemas.openxmlformats.org/officeDocument/2006/relationships/hyperlink" Target="https://en.wikipedia.org/wiki/Equatorial_Guinea" TargetMode="External"/><Relationship Id="rId134" Type="http://schemas.openxmlformats.org/officeDocument/2006/relationships/hyperlink" Target="https://en.wikipedia.org/wiki/Guinea-Bissau" TargetMode="External"/><Relationship Id="rId80" Type="http://schemas.openxmlformats.org/officeDocument/2006/relationships/hyperlink" Target="https://en.wikipedia.org/wiki/Benin" TargetMode="External"/><Relationship Id="rId155" Type="http://schemas.openxmlformats.org/officeDocument/2006/relationships/hyperlink" Target="https://en.wikipedia.org/wiki/Liberia" TargetMode="External"/><Relationship Id="rId176" Type="http://schemas.openxmlformats.org/officeDocument/2006/relationships/hyperlink" Target="https://en.wikipedia.org/wiki/New_Caledonia" TargetMode="External"/><Relationship Id="rId197" Type="http://schemas.openxmlformats.org/officeDocument/2006/relationships/hyperlink" Target="https://en.wikipedia.org/wiki/Saint_Barth&#233;lemy" TargetMode="External"/><Relationship Id="rId201" Type="http://schemas.openxmlformats.org/officeDocument/2006/relationships/hyperlink" Target="https://en.wikipedia.org/wiki/Saint_Martin" TargetMode="External"/><Relationship Id="rId222" Type="http://schemas.openxmlformats.org/officeDocument/2006/relationships/hyperlink" Target="https://en.wikipedia.org/wiki/Timor-Leste" TargetMode="External"/><Relationship Id="rId243" Type="http://schemas.openxmlformats.org/officeDocument/2006/relationships/hyperlink" Target="https://en.wikipedia.org/wiki/Zimbabwe" TargetMode="External"/><Relationship Id="rId17" Type="http://schemas.openxmlformats.org/officeDocument/2006/relationships/hyperlink" Target="https://en.wikipedia.org/wiki/Italy" TargetMode="External"/><Relationship Id="rId38" Type="http://schemas.openxmlformats.org/officeDocument/2006/relationships/hyperlink" Target="https://en.wikipedia.org/wiki/Singapore" TargetMode="External"/><Relationship Id="rId59" Type="http://schemas.openxmlformats.org/officeDocument/2006/relationships/hyperlink" Target="https://en.wikipedia.org/wiki/China" TargetMode="External"/><Relationship Id="rId103" Type="http://schemas.openxmlformats.org/officeDocument/2006/relationships/hyperlink" Target="https://en.wikipedia.org/wiki/Cook_Islands" TargetMode="External"/><Relationship Id="rId124" Type="http://schemas.openxmlformats.org/officeDocument/2006/relationships/hyperlink" Target="https://en.wikipedia.org/wiki/Gabon" TargetMode="External"/><Relationship Id="rId70" Type="http://schemas.openxmlformats.org/officeDocument/2006/relationships/hyperlink" Target="https://en.wikipedia.org/wiki/Armenia" TargetMode="External"/><Relationship Id="rId91" Type="http://schemas.openxmlformats.org/officeDocument/2006/relationships/hyperlink" Target="https://en.wikipedia.org/wiki/Cabo_Verde" TargetMode="External"/><Relationship Id="rId145" Type="http://schemas.openxmlformats.org/officeDocument/2006/relationships/hyperlink" Target="https://en.wikipedia.org/wiki/Jersey" TargetMode="External"/><Relationship Id="rId166" Type="http://schemas.openxmlformats.org/officeDocument/2006/relationships/hyperlink" Target="https://en.wikipedia.org/wiki/Mayotte" TargetMode="External"/><Relationship Id="rId187" Type="http://schemas.openxmlformats.org/officeDocument/2006/relationships/hyperlink" Target="https://en.wikipedia.org/wiki/Palau" TargetMode="External"/><Relationship Id="rId1" Type="http://schemas.openxmlformats.org/officeDocument/2006/relationships/hyperlink" Target="https://en.wikipedia.org/wiki/Austria" TargetMode="External"/><Relationship Id="rId212" Type="http://schemas.openxmlformats.org/officeDocument/2006/relationships/hyperlink" Target="https://en.wikipedia.org/wiki/Somalia" TargetMode="External"/><Relationship Id="rId233" Type="http://schemas.openxmlformats.org/officeDocument/2006/relationships/hyperlink" Target="https://en.wikipedia.org/wiki/United_States_Virgin_Islands" TargetMode="External"/><Relationship Id="rId28" Type="http://schemas.openxmlformats.org/officeDocument/2006/relationships/hyperlink" Target="https://en.wikipedia.org/wiki/Montenegro" TargetMode="External"/><Relationship Id="rId49" Type="http://schemas.openxmlformats.org/officeDocument/2006/relationships/hyperlink" Target="https://en.wikipedia.org/wiki/United_Arab_Emirates" TargetMode="External"/><Relationship Id="rId114" Type="http://schemas.openxmlformats.org/officeDocument/2006/relationships/hyperlink" Target="https://en.wikipedia.org/wiki/Eritrea" TargetMode="External"/><Relationship Id="rId60" Type="http://schemas.openxmlformats.org/officeDocument/2006/relationships/hyperlink" Target="https://en.wikipedia.org/wiki/Afghanistan" TargetMode="External"/><Relationship Id="rId81" Type="http://schemas.openxmlformats.org/officeDocument/2006/relationships/hyperlink" Target="https://en.wikipedia.org/wiki/Bermuda" TargetMode="External"/><Relationship Id="rId135" Type="http://schemas.openxmlformats.org/officeDocument/2006/relationships/hyperlink" Target="https://en.wikipedia.org/wiki/Guyana" TargetMode="External"/><Relationship Id="rId156" Type="http://schemas.openxmlformats.org/officeDocument/2006/relationships/hyperlink" Target="https://en.wikipedia.org/wiki/Libya" TargetMode="External"/><Relationship Id="rId177" Type="http://schemas.openxmlformats.org/officeDocument/2006/relationships/hyperlink" Target="https://en.wikipedia.org/wiki/Nicaragua" TargetMode="External"/><Relationship Id="rId198" Type="http://schemas.openxmlformats.org/officeDocument/2006/relationships/hyperlink" Target="https://en.wikipedia.org/wiki/Saint_Helena,_Ascension_and_Tristan_da_Cunha" TargetMode="External"/><Relationship Id="rId202" Type="http://schemas.openxmlformats.org/officeDocument/2006/relationships/hyperlink" Target="https://en.wikipedia.org/wiki/Saint_Pierre_and_Miquelon" TargetMode="External"/><Relationship Id="rId223" Type="http://schemas.openxmlformats.org/officeDocument/2006/relationships/hyperlink" Target="https://en.wikipedia.org/wiki/Togo" TargetMode="External"/><Relationship Id="rId244" Type="http://schemas.openxmlformats.org/officeDocument/2006/relationships/table" Target="../tables/table2.xml"/><Relationship Id="rId18" Type="http://schemas.openxmlformats.org/officeDocument/2006/relationships/hyperlink" Target="https://en.wikipedia.org/wiki/Japan" TargetMode="External"/><Relationship Id="rId39" Type="http://schemas.openxmlformats.org/officeDocument/2006/relationships/hyperlink" Target="https://en.wikipedia.org/wiki/Slovakia" TargetMode="External"/><Relationship Id="rId50" Type="http://schemas.openxmlformats.org/officeDocument/2006/relationships/hyperlink" Target="https://en.wikipedia.org/wiki/Taiwan" TargetMode="External"/><Relationship Id="rId104" Type="http://schemas.openxmlformats.org/officeDocument/2006/relationships/hyperlink" Target="https://en.wikipedia.org/wiki/Cuba" TargetMode="External"/><Relationship Id="rId125" Type="http://schemas.openxmlformats.org/officeDocument/2006/relationships/hyperlink" Target="https://en.wikipedia.org/wiki/Gambia" TargetMode="External"/><Relationship Id="rId146" Type="http://schemas.openxmlformats.org/officeDocument/2006/relationships/hyperlink" Target="https://en.wikipedia.org/wiki/Jordan" TargetMode="External"/><Relationship Id="rId167" Type="http://schemas.openxmlformats.org/officeDocument/2006/relationships/hyperlink" Target="https://en.wikipedia.org/wiki/Micronesia" TargetMode="External"/><Relationship Id="rId188" Type="http://schemas.openxmlformats.org/officeDocument/2006/relationships/hyperlink" Target="https://en.wikipedia.org/wiki/Palestine" TargetMode="External"/><Relationship Id="rId71" Type="http://schemas.openxmlformats.org/officeDocument/2006/relationships/hyperlink" Target="https://en.wikipedia.org/wiki/Aruba" TargetMode="External"/><Relationship Id="rId92" Type="http://schemas.openxmlformats.org/officeDocument/2006/relationships/hyperlink" Target="https://en.wikipedia.org/wiki/Cameroon" TargetMode="External"/><Relationship Id="rId213" Type="http://schemas.openxmlformats.org/officeDocument/2006/relationships/hyperlink" Target="https://en.wikipedia.org/wiki/South_Africa" TargetMode="External"/><Relationship Id="rId234" Type="http://schemas.openxmlformats.org/officeDocument/2006/relationships/hyperlink" Target="https://en.wikipedia.org/wiki/Uruguay" TargetMode="External"/><Relationship Id="rId2" Type="http://schemas.openxmlformats.org/officeDocument/2006/relationships/hyperlink" Target="https://en.wikipedia.org/wiki/Belgium" TargetMode="External"/><Relationship Id="rId29" Type="http://schemas.openxmlformats.org/officeDocument/2006/relationships/hyperlink" Target="https://en.wikipedia.org/wiki/Netherlands" TargetMode="External"/><Relationship Id="rId40" Type="http://schemas.openxmlformats.org/officeDocument/2006/relationships/hyperlink" Target="https://en.wikipedia.org/wiki/Slovenia" TargetMode="External"/><Relationship Id="rId115" Type="http://schemas.openxmlformats.org/officeDocument/2006/relationships/hyperlink" Target="https://en.wikipedia.org/wiki/Estonia" TargetMode="External"/><Relationship Id="rId136" Type="http://schemas.openxmlformats.org/officeDocument/2006/relationships/hyperlink" Target="https://en.wikipedia.org/wiki/Haiti" TargetMode="External"/><Relationship Id="rId157" Type="http://schemas.openxmlformats.org/officeDocument/2006/relationships/hyperlink" Target="https://en.wikipedia.org/wiki/Lithuania" TargetMode="External"/><Relationship Id="rId178" Type="http://schemas.openxmlformats.org/officeDocument/2006/relationships/hyperlink" Target="https://en.wikipedia.org/wiki/Niger" TargetMode="External"/><Relationship Id="rId61" Type="http://schemas.openxmlformats.org/officeDocument/2006/relationships/hyperlink" Target="https://en.wikipedia.org/wiki/Albania" TargetMode="External"/><Relationship Id="rId82" Type="http://schemas.openxmlformats.org/officeDocument/2006/relationships/hyperlink" Target="https://en.wikipedia.org/wiki/Bhutan" TargetMode="External"/><Relationship Id="rId199" Type="http://schemas.openxmlformats.org/officeDocument/2006/relationships/hyperlink" Target="https://en.wikipedia.org/wiki/Saint_Kitts_and_Nevis" TargetMode="External"/><Relationship Id="rId203" Type="http://schemas.openxmlformats.org/officeDocument/2006/relationships/hyperlink" Target="https://en.wikipedia.org/wiki/Saint_Vincent_and_the_Grenadines" TargetMode="External"/><Relationship Id="rId19" Type="http://schemas.openxmlformats.org/officeDocument/2006/relationships/hyperlink" Target="https://en.wikipedia.org/wiki/Laos" TargetMode="External"/><Relationship Id="rId224" Type="http://schemas.openxmlformats.org/officeDocument/2006/relationships/hyperlink" Target="https://en.wikipedia.org/wiki/Tokelau" TargetMode="External"/><Relationship Id="rId30" Type="http://schemas.openxmlformats.org/officeDocument/2006/relationships/hyperlink" Target="https://en.wikipedia.org/wiki/Norway" TargetMode="External"/><Relationship Id="rId105" Type="http://schemas.openxmlformats.org/officeDocument/2006/relationships/hyperlink" Target="https://en.wikipedia.org/wiki/Cura&#231;ao" TargetMode="External"/><Relationship Id="rId126" Type="http://schemas.openxmlformats.org/officeDocument/2006/relationships/hyperlink" Target="https://en.wikipedia.org/wiki/Ghana" TargetMode="External"/><Relationship Id="rId147" Type="http://schemas.openxmlformats.org/officeDocument/2006/relationships/hyperlink" Target="https://en.wikipedia.org/wiki/Kazakhstan" TargetMode="External"/><Relationship Id="rId168" Type="http://schemas.openxmlformats.org/officeDocument/2006/relationships/hyperlink" Target="https://en.wikipedia.org/wiki/Mongolia" TargetMode="External"/><Relationship Id="rId51" Type="http://schemas.openxmlformats.org/officeDocument/2006/relationships/hyperlink" Target="https://en.wikipedia.org/wiki/South_Korea" TargetMode="External"/><Relationship Id="rId72" Type="http://schemas.openxmlformats.org/officeDocument/2006/relationships/hyperlink" Target="https://en.wikipedia.org/wiki/Australia" TargetMode="External"/><Relationship Id="rId93" Type="http://schemas.openxmlformats.org/officeDocument/2006/relationships/hyperlink" Target="https://en.wikipedia.org/wiki/Caribbean_Netherlands" TargetMode="External"/><Relationship Id="rId189" Type="http://schemas.openxmlformats.org/officeDocument/2006/relationships/hyperlink" Target="https://en.wikipedia.org/wiki/Papua_New_Guinea" TargetMode="External"/><Relationship Id="rId3" Type="http://schemas.openxmlformats.org/officeDocument/2006/relationships/hyperlink" Target="https://en.wikipedia.org/wiki/Bosnia_and_Herzegovina" TargetMode="External"/><Relationship Id="rId214" Type="http://schemas.openxmlformats.org/officeDocument/2006/relationships/hyperlink" Target="https://en.wikipedia.org/wiki/South_Sudan" TargetMode="External"/><Relationship Id="rId235" Type="http://schemas.openxmlformats.org/officeDocument/2006/relationships/hyperlink" Target="https://en.wikipedia.org/wiki/Uzbekistan" TargetMode="External"/><Relationship Id="rId116" Type="http://schemas.openxmlformats.org/officeDocument/2006/relationships/hyperlink" Target="https://en.wikipedia.org/wiki/Eswatini" TargetMode="External"/><Relationship Id="rId137" Type="http://schemas.openxmlformats.org/officeDocument/2006/relationships/hyperlink" Target="https://en.wikipedia.org/wiki/Honduras" TargetMode="External"/><Relationship Id="rId158" Type="http://schemas.openxmlformats.org/officeDocument/2006/relationships/hyperlink" Target="https://en.wikipedia.org/wiki/Madagascar" TargetMode="External"/><Relationship Id="rId20" Type="http://schemas.openxmlformats.org/officeDocument/2006/relationships/hyperlink" Target="https://en.wikipedia.org/wiki/Liechtenstein" TargetMode="External"/><Relationship Id="rId41" Type="http://schemas.openxmlformats.org/officeDocument/2006/relationships/hyperlink" Target="https://en.wikipedia.org/wiki/Spain" TargetMode="External"/><Relationship Id="rId62" Type="http://schemas.openxmlformats.org/officeDocument/2006/relationships/hyperlink" Target="https://en.wikipedia.org/wiki/Algeria" TargetMode="External"/><Relationship Id="rId83" Type="http://schemas.openxmlformats.org/officeDocument/2006/relationships/hyperlink" Target="https://en.wikipedia.org/wiki/Bolivia" TargetMode="External"/><Relationship Id="rId179" Type="http://schemas.openxmlformats.org/officeDocument/2006/relationships/hyperlink" Target="https://en.wikipedia.org/wiki/Nigeria" TargetMode="External"/><Relationship Id="rId190" Type="http://schemas.openxmlformats.org/officeDocument/2006/relationships/hyperlink" Target="https://en.wikipedia.org/wiki/Paraguay" TargetMode="External"/><Relationship Id="rId204" Type="http://schemas.openxmlformats.org/officeDocument/2006/relationships/hyperlink" Target="https://en.wikipedia.org/wiki/Samoa" TargetMode="External"/><Relationship Id="rId225" Type="http://schemas.openxmlformats.org/officeDocument/2006/relationships/hyperlink" Target="https://en.wikipedia.org/wiki/Tonga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hyperlink" Target="https://en.wikipedia.org/wiki/London_Stansted_Airport" TargetMode="External"/><Relationship Id="rId1" Type="http://schemas.openxmlformats.org/officeDocument/2006/relationships/hyperlink" Target="https://en.wikipedia.org/wiki/Vienna_International_Airport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upload.wikimedia.org/wikipedia/commons/thumb/d/d1/Delta_logo.svg/1920px-Delta_logo.svg.png" TargetMode="External"/><Relationship Id="rId18" Type="http://schemas.openxmlformats.org/officeDocument/2006/relationships/hyperlink" Target="https://upload.wikimedia.org/wikipedia/commons/thumb/2/23/Logotipo_de_Iberia.svg/1920px-Logotipo_de_Iberia.svg.png" TargetMode="External"/><Relationship Id="rId26" Type="http://schemas.openxmlformats.org/officeDocument/2006/relationships/hyperlink" Target="https://upload.wikimedia.org/wikipedia/commons/thumb/9/97/Air_New_Zealand_logo.svg/1920px-Air_New_Zealand_logo.svg.png" TargetMode="External"/><Relationship Id="rId3" Type="http://schemas.openxmlformats.org/officeDocument/2006/relationships/hyperlink" Target="https://upload.wikimedia.org/wikipedia/commons/thumb/5/59/Air_Europa_Logo_%282015%29.svg/1920px-Air_Europa_Logo_%282015%29.svg.png" TargetMode="External"/><Relationship Id="rId21" Type="http://schemas.openxmlformats.org/officeDocument/2006/relationships/hyperlink" Target="https://upload.wikimedia.org/wikipedia/commons/thumb/d/d9/SunExpress_Logo.svg/1920px-SunExpress_Logo.svg.png" TargetMode="External"/><Relationship Id="rId34" Type="http://schemas.openxmlformats.org/officeDocument/2006/relationships/table" Target="../tables/table7.xml"/><Relationship Id="rId7" Type="http://schemas.openxmlformats.org/officeDocument/2006/relationships/hyperlink" Target="https://upload.wikimedia.org/wikipedia/en/thumb/d/d5/Ryanair.svg/3840px-Ryanair.svg.png" TargetMode="External"/><Relationship Id="rId12" Type="http://schemas.openxmlformats.org/officeDocument/2006/relationships/hyperlink" Target="https://upload.wikimedia.org/wikipedia/commons/thumb/1/1d/Emirates_Logo.svg/1920px-Emirates_Logo.svg.png" TargetMode="External"/><Relationship Id="rId17" Type="http://schemas.openxmlformats.org/officeDocument/2006/relationships/hyperlink" Target="https://upload.wikimedia.org/wikipedia/commons/thumb/6/6b/Logo_airmalta.svg/1920px-Logo_airmalta.svg.png" TargetMode="External"/><Relationship Id="rId25" Type="http://schemas.openxmlformats.org/officeDocument/2006/relationships/hyperlink" Target="https://upload.wikimedia.org/wikipedia/commons/thumb/f/f8/Swiss_International_Air_Lines_Logo_2011.svg/1920px-Swiss_International_Air_Lines_Logo_2011.svg.png" TargetMode="External"/><Relationship Id="rId33" Type="http://schemas.openxmlformats.org/officeDocument/2006/relationships/hyperlink" Target="https://upload.wikimedia.org/wikipedia/commons/0/0f/Chongqing_Airlines_logo.png" TargetMode="External"/><Relationship Id="rId2" Type="http://schemas.openxmlformats.org/officeDocument/2006/relationships/hyperlink" Target="https://upload.wikimedia.org/wikipedia/en/thumb/a/a4/Air_China_logo.svg/1920px-Air_China_logo.svg.png" TargetMode="External"/><Relationship Id="rId16" Type="http://schemas.openxmlformats.org/officeDocument/2006/relationships/hyperlink" Target="https://upload.wikimedia.org/wikipedia/commons/thumb/f/f5/AirAsia_New_Logo.svg/1280px-AirAsia_New_Logo.svg.png" TargetMode="External"/><Relationship Id="rId20" Type="http://schemas.openxmlformats.org/officeDocument/2006/relationships/hyperlink" Target="https://upload.wikimedia.org/wikipedia/en/thumb/e/e7/WOW_air_logo.svg/960px-WOW_air_logo.svg.png" TargetMode="External"/><Relationship Id="rId29" Type="http://schemas.openxmlformats.org/officeDocument/2006/relationships/hyperlink" Target="https://upload.wikimedia.org/wikipedia/en/thumb/6/6b/China_Eastern_Airlines_logo.svg/1920px-China_Eastern_Airlines_logo.svg.png" TargetMode="External"/><Relationship Id="rId1" Type="http://schemas.openxmlformats.org/officeDocument/2006/relationships/hyperlink" Target="https://upload.wikimedia.org/wikipedia/commons/thumb/b/b8/Lufthansa_Logo_2018.svg/1920px-Lufthansa_Logo_2018.svg.png" TargetMode="External"/><Relationship Id="rId6" Type="http://schemas.openxmlformats.org/officeDocument/2006/relationships/hyperlink" Target="https://upload.wikimedia.org/wikipedia/commons/thumb/1/1f/Viva_Logo.svg/1920px-Viva_Logo.svg.png" TargetMode="External"/><Relationship Id="rId11" Type="http://schemas.openxmlformats.org/officeDocument/2006/relationships/hyperlink" Target="https://upload.wikimedia.org/wikipedia/en/thumb/9/94/Loganair_logo.svg/1920px-Loganair_logo.svg.png" TargetMode="External"/><Relationship Id="rId24" Type="http://schemas.openxmlformats.org/officeDocument/2006/relationships/hyperlink" Target="https://upload.wikimedia.org/wikipedia/commons/thumb/c/c7/KLM_logo.svg/1280px-KLM_logo.svg.png" TargetMode="External"/><Relationship Id="rId32" Type="http://schemas.openxmlformats.org/officeDocument/2006/relationships/hyperlink" Target="https://upload.wikimedia.org/wikipedia/en/thumb/0/0d/Sichuan_Airlines_logo.svg/1920px-Sichuan_Airlines_logo.svg.png" TargetMode="External"/><Relationship Id="rId5" Type="http://schemas.openxmlformats.org/officeDocument/2006/relationships/hyperlink" Target="https://upload.wikimedia.org/wikipedia/en/thumb/5/5a/Copa_airlines_logo.svg/1920px-Copa_airlines_logo.svg.png" TargetMode="External"/><Relationship Id="rId15" Type="http://schemas.openxmlformats.org/officeDocument/2006/relationships/hyperlink" Target="https://upload.wikimedia.org/wikipedia/commons/thumb/c/cf/Tigerair.svg/1920px-Tigerair.svg.png" TargetMode="External"/><Relationship Id="rId23" Type="http://schemas.openxmlformats.org/officeDocument/2006/relationships/hyperlink" Target="https://upload.wikimedia.org/wikipedia/en/thumb/b/b6/Vietnam_Airlines_logo_2015.svg/1920px-Vietnam_Airlines_logo_2015.svg.png" TargetMode="External"/><Relationship Id="rId28" Type="http://schemas.openxmlformats.org/officeDocument/2006/relationships/hyperlink" Target="https://upload.wikimedia.org/wikipedia/commons/thumb/1/1b/EasyJet_logo.svg/1920px-EasyJet_logo.svg.png" TargetMode="External"/><Relationship Id="rId10" Type="http://schemas.openxmlformats.org/officeDocument/2006/relationships/hyperlink" Target="https://upload.wikimedia.org/wikipedia/en/thumb/3/3d/LOT_Polish_Airlines.svg/1920px-LOT_Polish_Airlines.svg.png" TargetMode="External"/><Relationship Id="rId19" Type="http://schemas.openxmlformats.org/officeDocument/2006/relationships/hyperlink" Target="https://upload.wikimedia.org/wikipedia/commons/thumb/f/fd/TAP-Portugal-Logo.svg/1920px-TAP-Portugal-Logo.svg.png" TargetMode="External"/><Relationship Id="rId31" Type="http://schemas.openxmlformats.org/officeDocument/2006/relationships/hyperlink" Target="https://upload.wikimedia.org/wikipedia/commons/thumb/0/00/Turkish_Airlines_logo_2019_compact.svg/1920px-Turkish_Airlines_logo_2019_compact.svg.png" TargetMode="External"/><Relationship Id="rId4" Type="http://schemas.openxmlformats.org/officeDocument/2006/relationships/hyperlink" Target="https://upload.wikimedia.org/wikipedia/en/thumb/8/81/Austrian_Airlines_logo.svg/1920px-Austrian_Airlines_logo.svg.png" TargetMode="External"/><Relationship Id="rId9" Type="http://schemas.openxmlformats.org/officeDocument/2006/relationships/hyperlink" Target="https://upload.wikimedia.org/wikipedia/en/thumb/4/49/Germanwings_logo.svg/1920px-Germanwings_logo.svg.png" TargetMode="External"/><Relationship Id="rId14" Type="http://schemas.openxmlformats.org/officeDocument/2006/relationships/hyperlink" Target="https://upload.wikimedia.org/wikipedia/en/thumb/e/e0/United_Airlines_Logo.svg/1920px-United_Airlines_Logo.svg.png" TargetMode="External"/><Relationship Id="rId22" Type="http://schemas.openxmlformats.org/officeDocument/2006/relationships/hyperlink" Target="https://upload.wikimedia.org/wikipedia/commons/thumb/9/9d/Vanilla_Air_logo.svg/1920px-Vanilla_Air_logo.svg.png" TargetMode="External"/><Relationship Id="rId27" Type="http://schemas.openxmlformats.org/officeDocument/2006/relationships/hyperlink" Target="https://upload.wikimedia.org/wikipedia/en/a/a7/Bluebird_Airways_Logo.png" TargetMode="External"/><Relationship Id="rId30" Type="http://schemas.openxmlformats.org/officeDocument/2006/relationships/hyperlink" Target="https://upload.wikimedia.org/wikipedia/en/thumb/b/b4/China_Southern_Airlines_logo.svg/1920px-China_Southern_Airlines_logo.svg.png" TargetMode="External"/><Relationship Id="rId8" Type="http://schemas.openxmlformats.org/officeDocument/2006/relationships/hyperlink" Target="https://upload.wikimedia.org/wikipedia/commons/thumb/b/b4/Eurowings_Logo.svg/1920px-Eurowings_Logo.svg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2C6EF-18A1-4F4D-BD59-4C24FD45136A}">
  <sheetPr codeName="Tabelle5">
    <tabColor rgb="FF7030A0"/>
  </sheetPr>
  <dimension ref="B5:E11"/>
  <sheetViews>
    <sheetView tabSelected="1" workbookViewId="0">
      <selection activeCell="E5" sqref="E5"/>
    </sheetView>
  </sheetViews>
  <sheetFormatPr baseColWidth="10" defaultRowHeight="12.75" x14ac:dyDescent="0.2"/>
  <sheetData>
    <row r="5" spans="2:5" x14ac:dyDescent="0.2">
      <c r="E5" s="2"/>
    </row>
    <row r="11" spans="2:5" x14ac:dyDescent="0.2">
      <c r="B11" s="2" t="s">
        <v>1157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ShowDashboardInBrowser">
                <anchor moveWithCells="1" sizeWithCells="1">
                  <from>
                    <xdr:col>4</xdr:col>
                    <xdr:colOff>752475</xdr:colOff>
                    <xdr:row>1</xdr:row>
                    <xdr:rowOff>9525</xdr:rowOff>
                  </from>
                  <to>
                    <xdr:col>7</xdr:col>
                    <xdr:colOff>752475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ShowCitiesCountriesMapInBrowser">
                <anchor moveWithCells="1" sizeWithCells="1">
                  <from>
                    <xdr:col>1</xdr:col>
                    <xdr:colOff>0</xdr:colOff>
                    <xdr:row>1</xdr:row>
                    <xdr:rowOff>9525</xdr:rowOff>
                  </from>
                  <to>
                    <xdr:col>3</xdr:col>
                    <xdr:colOff>752475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5" name="Button 6">
              <controlPr defaultSize="0" print="0" autoFill="0" autoPict="0" macro="[0]!ShowYearlyOverviewInBrowser">
                <anchor moveWithCells="1" sizeWithCells="1">
                  <from>
                    <xdr:col>4</xdr:col>
                    <xdr:colOff>752475</xdr:colOff>
                    <xdr:row>5</xdr:row>
                    <xdr:rowOff>9525</xdr:rowOff>
                  </from>
                  <to>
                    <xdr:col>8</xdr:col>
                    <xdr:colOff>9525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6" name="Button 8">
              <controlPr defaultSize="0" print="0" autoFill="0" autoPict="0" macro="[0]!ShowAviationMapInBrowser">
                <anchor moveWithCells="1" sizeWithCells="1">
                  <from>
                    <xdr:col>1</xdr:col>
                    <xdr:colOff>9525</xdr:colOff>
                    <xdr:row>4</xdr:row>
                    <xdr:rowOff>152400</xdr:rowOff>
                  </from>
                  <to>
                    <xdr:col>4</xdr:col>
                    <xdr:colOff>9525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7" name="LangCodeDropdown">
              <controlPr defaultSize="0" autoLine="0" autoPict="0" macro="[0]!DropdownChanged">
                <anchor moveWithCells="1">
                  <from>
                    <xdr:col>2</xdr:col>
                    <xdr:colOff>247650</xdr:colOff>
                    <xdr:row>9</xdr:row>
                    <xdr:rowOff>152400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83D2-241A-4381-96E3-E1483713208E}">
  <sheetPr codeName="Tabelle11">
    <tabColor theme="7" tint="-0.499984740745262"/>
  </sheetPr>
  <dimension ref="A1:P3"/>
  <sheetViews>
    <sheetView showOutlineSymbols="0" showWhiteSpace="0" workbookViewId="0">
      <pane ySplit="1" topLeftCell="A2" activePane="bottomLeft" state="frozen"/>
      <selection pane="bottomLeft" activeCell="I8" sqref="I8"/>
    </sheetView>
  </sheetViews>
  <sheetFormatPr baseColWidth="10" defaultRowHeight="12.75" x14ac:dyDescent="0.2"/>
  <cols>
    <col min="1" max="1" width="9.5703125" customWidth="1"/>
    <col min="2" max="2" width="24.140625" bestFit="1" customWidth="1"/>
    <col min="3" max="3" width="23.140625" customWidth="1"/>
    <col min="4" max="4" width="19.140625" bestFit="1" customWidth="1"/>
    <col min="5" max="5" width="10.85546875" style="12" customWidth="1"/>
    <col min="6" max="6" width="11.28515625" style="12" customWidth="1"/>
    <col min="7" max="7" width="14.28515625" style="9" bestFit="1" customWidth="1"/>
    <col min="8" max="8" width="8" style="30" bestFit="1" customWidth="1"/>
    <col min="9" max="9" width="10.5703125" style="30" customWidth="1"/>
    <col min="10" max="10" width="12.28515625" style="31" customWidth="1"/>
    <col min="11" max="11" width="11.42578125" style="31"/>
    <col min="16" max="16" width="17.140625" style="1" customWidth="1"/>
  </cols>
  <sheetData>
    <row r="1" spans="1:16" s="22" customFormat="1" x14ac:dyDescent="0.2">
      <c r="A1" s="21" t="s">
        <v>249</v>
      </c>
      <c r="B1" s="20" t="s">
        <v>0</v>
      </c>
      <c r="C1" s="20" t="s">
        <v>172</v>
      </c>
      <c r="D1" s="20" t="s">
        <v>248</v>
      </c>
      <c r="E1" s="12" t="s">
        <v>162</v>
      </c>
      <c r="F1" s="12" t="s">
        <v>173</v>
      </c>
      <c r="G1" s="27" t="s">
        <v>81</v>
      </c>
      <c r="H1" s="28" t="s">
        <v>82</v>
      </c>
      <c r="I1" s="28" t="s">
        <v>476</v>
      </c>
      <c r="J1" s="29" t="s">
        <v>83</v>
      </c>
      <c r="K1" s="29" t="s">
        <v>84</v>
      </c>
      <c r="P1" s="26"/>
    </row>
    <row r="2" spans="1:16" x14ac:dyDescent="0.2">
      <c r="A2" t="str">
        <f>_xlfn.XLOOKUP(CityTable[[#This Row],[Country]], CountryTable[Common Name], CountryTable[ISO2])</f>
        <v>AT</v>
      </c>
      <c r="B2" s="2" t="s">
        <v>2</v>
      </c>
      <c r="C2" s="2" t="s">
        <v>75</v>
      </c>
      <c r="D2" s="2" t="s">
        <v>165</v>
      </c>
      <c r="E2" s="12" cm="1">
        <f t="array" ref="E2">GetCityLatitude(CityTable[[#This Row],[Name]],CityTable[[#This Row],[ISO2]])</f>
        <v>48.208489999999998</v>
      </c>
      <c r="F2" s="12" cm="1">
        <f t="array" ref="F2">GetCityLongitude(CityTable[[#This Row],[Name]],CityTable[[#This Row],[ISO2]])</f>
        <v>16.37208</v>
      </c>
      <c r="G2" s="27" cm="1">
        <f t="array" ref="G2">GetCityPopulation(CityTable[[#This Row],[Name]] &amp; ", " &amp; CityTable[[#This Row],[Country]],CityTable[[#This Row],[ISO2]])</f>
        <v>1691468</v>
      </c>
      <c r="H2" s="30" cm="1">
        <f t="array" ref="H2">IFERROR(COUNTA(_xlfn.UNIQUE(_xlfn._xlws.FILTER(TripTable[Trip Name], (TripTable[City]=CityTable[[#This Row],[Name]])*(TripTable[City]&lt;&gt;"")))), 0)</f>
        <v>1</v>
      </c>
      <c r="I2" s="32" t="b">
        <v>0</v>
      </c>
      <c r="J2" s="31" t="str">
        <f>IF(COUNTIFS(TripTable[City],CityTable[[#This Row],[Name]])=0,"",TEXT(_xlfn.MINIFS(TripTable[Date],TripTable[City],CityTable[[#This Row],[Name]]),"MMM JJJJ"))</f>
        <v>Jul 2026</v>
      </c>
      <c r="K2" s="31" t="str">
        <f>IF(COUNTIFS(TripTable[City],CityTable[[#This Row],[Name]])=0,"",TEXT(_xlfn.MAXIFS(TripTable[Date],TripTable[City],CityTable[[#This Row],[Name]]),"MMM JJJJ"))</f>
        <v>Jul 2026</v>
      </c>
    </row>
    <row r="3" spans="1:16" x14ac:dyDescent="0.2">
      <c r="A3" s="35" t="str">
        <f>_xlfn.XLOOKUP(CityTable[[#This Row],[Country]], CountryTable[Common Name], CountryTable[ISO2])</f>
        <v>GB</v>
      </c>
      <c r="B3" s="2" t="s">
        <v>55</v>
      </c>
      <c r="C3" s="2" t="s">
        <v>71</v>
      </c>
      <c r="D3" s="2"/>
      <c r="E3" s="12" cm="1">
        <f t="array" ref="E3">GetCityLatitude(CityTable[[#This Row],[Name]],CityTable[[#This Row],[ISO2]])</f>
        <v>51.50853</v>
      </c>
      <c r="F3" s="12" cm="1">
        <f t="array" ref="F3">GetCityLongitude(CityTable[[#This Row],[Name]],CityTable[[#This Row],[ISO2]])</f>
        <v>-0.12573999999999999</v>
      </c>
      <c r="G3" s="27" cm="1">
        <f t="array" ref="G3">GetCityPopulation(CityTable[[#This Row],[Name]] &amp; ", " &amp; CityTable[[#This Row],[Country]],CityTable[[#This Row],[ISO2]])</f>
        <v>8961989</v>
      </c>
      <c r="H3" s="30" cm="1">
        <f t="array" ref="H3">IFERROR(COUNTA(_xlfn.UNIQUE(_xlfn._xlws.FILTER(TripTable[Trip Name], (TripTable[City]=CityTable[[#This Row],[Name]])*(TripTable[City]&lt;&gt;"")))), 0)</f>
        <v>1</v>
      </c>
      <c r="I3" s="32" t="b">
        <v>1</v>
      </c>
      <c r="J3" s="31" t="str">
        <f>IF(COUNTIFS(TripTable[City],CityTable[[#This Row],[Name]])=0,"",TEXT(_xlfn.MINIFS(TripTable[Date],TripTable[City],CityTable[[#This Row],[Name]]),"MMM JJJJ"))</f>
        <v/>
      </c>
      <c r="K3" s="31" t="str">
        <f>IF(COUNTIFS(TripTable[City],CityTable[[#This Row],[Name]])=0,"",TEXT(_xlfn.MAXIFS(TripTable[Date],TripTable[City],CityTable[[#This Row],[Name]]),"MMM JJJJ"))</f>
        <v/>
      </c>
    </row>
  </sheetData>
  <phoneticPr fontId="5" type="noConversion"/>
  <pageMargins left="0.7" right="0.7" top="0.78740157499999996" bottom="0.78740157499999996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DFC0E-2C66-4535-B695-954EE8E3E8F3}">
  <sheetPr codeName="Tabelle7">
    <tabColor theme="7" tint="-0.249977111117893"/>
  </sheetPr>
  <dimension ref="A1:K244"/>
  <sheetViews>
    <sheetView showOutlineSymbols="0" showWhiteSpace="0" zoomScale="90" zoomScaleNormal="90" workbookViewId="0">
      <pane ySplit="1" topLeftCell="A15" activePane="bottomLeft" state="frozen"/>
      <selection pane="bottomLeft" activeCell="B15" sqref="B15"/>
    </sheetView>
  </sheetViews>
  <sheetFormatPr baseColWidth="10" defaultRowHeight="12.75" x14ac:dyDescent="0.2"/>
  <cols>
    <col min="1" max="1" width="10.42578125" style="6" bestFit="1" customWidth="1"/>
    <col min="2" max="2" width="26.5703125" style="6" customWidth="1"/>
    <col min="3" max="3" width="33.140625" style="6" customWidth="1"/>
    <col min="4" max="4" width="16" style="6" bestFit="1" customWidth="1"/>
    <col min="5" max="5" width="15.7109375" style="6" bestFit="1" customWidth="1"/>
    <col min="6" max="6" width="19.5703125" style="6" bestFit="1" customWidth="1"/>
    <col min="7" max="7" width="11.28515625" style="6" bestFit="1" customWidth="1"/>
    <col min="8" max="8" width="13.5703125" style="6" bestFit="1" customWidth="1"/>
    <col min="9" max="9" width="13.42578125" style="6" bestFit="1" customWidth="1"/>
    <col min="10" max="10" width="22" style="6" customWidth="1"/>
    <col min="11" max="11" width="12.140625" bestFit="1" customWidth="1"/>
    <col min="17" max="17" width="7.5703125" bestFit="1" customWidth="1"/>
  </cols>
  <sheetData>
    <row r="1" spans="1:11" s="4" customFormat="1" ht="39.200000000000003" customHeight="1" x14ac:dyDescent="0.2">
      <c r="A1" s="3" t="s">
        <v>249</v>
      </c>
      <c r="B1" s="4" t="s">
        <v>308</v>
      </c>
      <c r="C1" s="4" t="s">
        <v>309</v>
      </c>
      <c r="D1" s="4" t="s">
        <v>81</v>
      </c>
      <c r="E1" s="4" t="s">
        <v>250</v>
      </c>
      <c r="F1" s="4" t="s">
        <v>163</v>
      </c>
      <c r="G1" s="4" t="s">
        <v>82</v>
      </c>
      <c r="H1" s="4" t="s">
        <v>83</v>
      </c>
      <c r="I1" s="4" t="s">
        <v>84</v>
      </c>
      <c r="J1" s="4" t="s">
        <v>177</v>
      </c>
      <c r="K1" s="4" t="s">
        <v>1</v>
      </c>
    </row>
    <row r="2" spans="1:11" ht="39" customHeight="1" x14ac:dyDescent="0.2">
      <c r="A2" s="5" t="s">
        <v>479</v>
      </c>
      <c r="B2" s="6" t="s">
        <v>506</v>
      </c>
      <c r="C2" s="10" t="s">
        <v>507</v>
      </c>
      <c r="D2" s="9">
        <v>37172386</v>
      </c>
      <c r="E2" s="9">
        <v>647500</v>
      </c>
      <c r="F2" s="6" t="s">
        <v>508</v>
      </c>
      <c r="G2" s="6" cm="1">
        <f t="array" ref="G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" s="6" t="str">
        <f>IF(COUNTIFS(TripTable[Country],CountryTable[[#This Row],[Common Name]])=0,"",TEXT(_xlfn.MINIFS(TripTable[Date],TripTable[Country],CountryTable[[#This Row],[Common Name]]),"MMM JJJJ"))</f>
        <v/>
      </c>
      <c r="I2" s="6" t="str">
        <f>IF(COUNTIFS(TripTable[Country],CountryTable[[#This Row],[Common Name]])=0,"",TEXT(_xlfn.MAXIFS(TripTable[Date],TripTable[Country],CountryTable[[#This Row],[Common Name]]),"MMM JJJJ"))</f>
        <v/>
      </c>
      <c r="J2" s="8" t="s">
        <v>1158</v>
      </c>
      <c r="K2" s="6" t="e" vm="1">
        <f t="shared" ref="K2:K33" si="0">_xlfn.IMAGE("https://flagsapi.com/" &amp; A2 &amp; "/flat/64.png", "Flag of " &amp; A2,0)</f>
        <v>#VALUE!</v>
      </c>
    </row>
    <row r="3" spans="1:11" ht="39" customHeight="1" x14ac:dyDescent="0.2">
      <c r="A3" s="5" t="s">
        <v>481</v>
      </c>
      <c r="B3" s="6" t="s">
        <v>511</v>
      </c>
      <c r="C3" s="10" t="s">
        <v>512</v>
      </c>
      <c r="D3" s="9">
        <v>2866376</v>
      </c>
      <c r="E3" s="9">
        <v>28748</v>
      </c>
      <c r="F3" s="6" t="s">
        <v>513</v>
      </c>
      <c r="G3" s="6" cm="1">
        <f t="array" ref="G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" s="6" t="str">
        <f>IF(COUNTIFS(TripTable[Country],CountryTable[[#This Row],[Common Name]])=0,"",TEXT(_xlfn.MINIFS(TripTable[Date],TripTable[Country],CountryTable[[#This Row],[Common Name]]),"MMM JJJJ"))</f>
        <v/>
      </c>
      <c r="I3" s="6" t="str">
        <f>IF(COUNTIFS(TripTable[Country],CountryTable[[#This Row],[Common Name]])=0,"",TEXT(_xlfn.MAXIFS(TripTable[Date],TripTable[Country],CountryTable[[#This Row],[Common Name]]),"MMM JJJJ"))</f>
        <v/>
      </c>
      <c r="J3" s="8" t="s">
        <v>1159</v>
      </c>
      <c r="K3" s="6" t="e" vm="2">
        <f t="shared" si="0"/>
        <v>#VALUE!</v>
      </c>
    </row>
    <row r="4" spans="1:11" ht="39" customHeight="1" x14ac:dyDescent="0.2">
      <c r="A4" s="5" t="s">
        <v>588</v>
      </c>
      <c r="B4" s="6" t="s">
        <v>643</v>
      </c>
      <c r="C4" s="10" t="s">
        <v>644</v>
      </c>
      <c r="D4" s="9">
        <v>42228429</v>
      </c>
      <c r="E4" s="9">
        <v>2381740</v>
      </c>
      <c r="F4" s="6" t="s">
        <v>1028</v>
      </c>
      <c r="G4" s="6" cm="1">
        <f t="array" ref="G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" s="6" t="str">
        <f>IF(COUNTIFS(TripTable[Country],CountryTable[[#This Row],[Common Name]])=0,"",TEXT(_xlfn.MINIFS(TripTable[Date],TripTable[Country],CountryTable[[#This Row],[Common Name]]),"MMM JJJJ"))</f>
        <v/>
      </c>
      <c r="I4" s="6" t="str">
        <f>IF(COUNTIFS(TripTable[Country],CountryTable[[#This Row],[Common Name]])=0,"",TEXT(_xlfn.MAXIFS(TripTable[Date],TripTable[Country],CountryTable[[#This Row],[Common Name]]),"MMM JJJJ"))</f>
        <v/>
      </c>
      <c r="J4" s="8" t="s">
        <v>1160</v>
      </c>
      <c r="K4" s="6" t="e" vm="3">
        <f t="shared" si="0"/>
        <v>#VALUE!</v>
      </c>
    </row>
    <row r="5" spans="1:11" ht="39" customHeight="1" x14ac:dyDescent="0.2">
      <c r="A5" s="5" t="s">
        <v>611</v>
      </c>
      <c r="B5" s="6" t="s">
        <v>683</v>
      </c>
      <c r="C5" s="10" t="s">
        <v>683</v>
      </c>
      <c r="D5" s="9">
        <v>55465</v>
      </c>
      <c r="E5" s="9">
        <v>199</v>
      </c>
      <c r="F5" s="6" t="s">
        <v>1009</v>
      </c>
      <c r="G5" s="6" cm="1">
        <f t="array" ref="G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" s="6" t="str">
        <f>IF(COUNTIFS(TripTable[Country],CountryTable[[#This Row],[Common Name]])=0,"",TEXT(_xlfn.MINIFS(TripTable[Date],TripTable[Country],CountryTable[[#This Row],[Common Name]]),"MMM JJJJ"))</f>
        <v/>
      </c>
      <c r="I5" s="6" t="str">
        <f>IF(COUNTIFS(TripTable[Country],CountryTable[[#This Row],[Common Name]])=0,"",TEXT(_xlfn.MAXIFS(TripTable[Date],TripTable[Country],CountryTable[[#This Row],[Common Name]]),"MMM JJJJ"))</f>
        <v/>
      </c>
      <c r="J5" s="8" t="s">
        <v>1161</v>
      </c>
      <c r="K5" s="6" t="e" vm="4">
        <f t="shared" si="0"/>
        <v>#VALUE!</v>
      </c>
    </row>
    <row r="6" spans="1:11" ht="39" customHeight="1" x14ac:dyDescent="0.2">
      <c r="A6" s="5" t="s">
        <v>478</v>
      </c>
      <c r="B6" s="6" t="s">
        <v>503</v>
      </c>
      <c r="C6" s="10" t="s">
        <v>504</v>
      </c>
      <c r="D6" s="9">
        <v>77006</v>
      </c>
      <c r="E6" s="9">
        <v>468</v>
      </c>
      <c r="F6" s="6" t="s">
        <v>505</v>
      </c>
      <c r="G6" s="6" cm="1">
        <f t="array" ref="G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" s="6" t="str">
        <f>IF(COUNTIFS(TripTable[Country],CountryTable[[#This Row],[Common Name]])=0,"",TEXT(_xlfn.MINIFS(TripTable[Date],TripTable[Country],CountryTable[[#This Row],[Common Name]]),"MMM JJJJ"))</f>
        <v/>
      </c>
      <c r="I6" s="6" t="str">
        <f>IF(COUNTIFS(TripTable[Country],CountryTable[[#This Row],[Common Name]])=0,"",TEXT(_xlfn.MAXIFS(TripTable[Date],TripTable[Country],CountryTable[[#This Row],[Common Name]]),"MMM JJJJ"))</f>
        <v/>
      </c>
      <c r="J6" s="8" t="s">
        <v>1162</v>
      </c>
      <c r="K6" s="6" t="e" vm="5">
        <f t="shared" si="0"/>
        <v>#VALUE!</v>
      </c>
    </row>
    <row r="7" spans="1:11" ht="39" customHeight="1" x14ac:dyDescent="0.2">
      <c r="A7" s="5" t="s">
        <v>483</v>
      </c>
      <c r="B7" s="6" t="s">
        <v>517</v>
      </c>
      <c r="C7" s="10" t="s">
        <v>518</v>
      </c>
      <c r="D7" s="9">
        <v>30809762</v>
      </c>
      <c r="E7" s="9">
        <v>1246700</v>
      </c>
      <c r="F7" s="6" t="s">
        <v>519</v>
      </c>
      <c r="G7" s="6" cm="1">
        <f t="array" ref="G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" s="6" t="str">
        <f>IF(COUNTIFS(TripTable[Country],CountryTable[[#This Row],[Common Name]])=0,"",TEXT(_xlfn.MINIFS(TripTable[Date],TripTable[Country],CountryTable[[#This Row],[Common Name]]),"MMM JJJJ"))</f>
        <v/>
      </c>
      <c r="I7" s="6" t="str">
        <f>IF(COUNTIFS(TripTable[Country],CountryTable[[#This Row],[Common Name]])=0,"",TEXT(_xlfn.MAXIFS(TripTable[Date],TripTable[Country],CountryTable[[#This Row],[Common Name]]),"MMM JJJJ"))</f>
        <v/>
      </c>
      <c r="J7" s="8" t="s">
        <v>1163</v>
      </c>
      <c r="K7" s="6" t="e" vm="6">
        <f t="shared" si="0"/>
        <v>#VALUE!</v>
      </c>
    </row>
    <row r="8" spans="1:11" ht="39" customHeight="1" x14ac:dyDescent="0.2">
      <c r="A8" s="5" t="s">
        <v>994</v>
      </c>
      <c r="B8" s="6" t="s">
        <v>1006</v>
      </c>
      <c r="C8" s="10" t="s">
        <v>1006</v>
      </c>
      <c r="D8" s="9">
        <v>13254</v>
      </c>
      <c r="E8" s="9">
        <v>102</v>
      </c>
      <c r="F8" s="6" t="s">
        <v>1008</v>
      </c>
      <c r="G8" s="6" cm="1">
        <f t="array" ref="G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" s="6" t="str">
        <f>IF(COUNTIFS(TripTable[Country],CountryTable[[#This Row],[Common Name]])=0,"",TEXT(_xlfn.MINIFS(TripTable[Date],TripTable[Country],CountryTable[[#This Row],[Common Name]]),"MMM JJJJ"))</f>
        <v/>
      </c>
      <c r="I8" s="6" t="str">
        <f>IF(COUNTIFS(TripTable[Country],CountryTable[[#This Row],[Common Name]])=0,"",TEXT(_xlfn.MAXIFS(TripTable[Date],TripTable[Country],CountryTable[[#This Row],[Common Name]]),"MMM JJJJ"))</f>
        <v/>
      </c>
      <c r="J8" s="8" t="s">
        <v>1164</v>
      </c>
      <c r="K8" s="6" t="e" vm="7">
        <f t="shared" si="0"/>
        <v>#VALUE!</v>
      </c>
    </row>
    <row r="9" spans="1:11" ht="39" customHeight="1" x14ac:dyDescent="0.2">
      <c r="A9" s="5" t="s">
        <v>484</v>
      </c>
      <c r="B9" s="6" t="s">
        <v>520</v>
      </c>
      <c r="C9" s="10" t="s">
        <v>520</v>
      </c>
      <c r="D9" s="9">
        <v>0</v>
      </c>
      <c r="E9" s="9">
        <v>14000000</v>
      </c>
      <c r="G9" s="6" cm="1">
        <f t="array" ref="G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" s="6" t="str">
        <f>IF(COUNTIFS(TripTable[Country],CountryTable[[#This Row],[Common Name]])=0,"",TEXT(_xlfn.MINIFS(TripTable[Date],TripTable[Country],CountryTable[[#This Row],[Common Name]]),"MMM JJJJ"))</f>
        <v/>
      </c>
      <c r="I9" s="6" t="str">
        <f>IF(COUNTIFS(TripTable[Country],CountryTable[[#This Row],[Common Name]])=0,"",TEXT(_xlfn.MAXIFS(TripTable[Date],TripTable[Country],CountryTable[[#This Row],[Common Name]]),"MMM JJJJ"))</f>
        <v/>
      </c>
      <c r="J9" s="8" t="s">
        <v>1165</v>
      </c>
      <c r="K9" s="6" t="e" vm="8">
        <f t="shared" si="0"/>
        <v>#VALUE!</v>
      </c>
    </row>
    <row r="10" spans="1:11" ht="39" customHeight="1" x14ac:dyDescent="0.2">
      <c r="A10" s="5" t="s">
        <v>480</v>
      </c>
      <c r="B10" s="6" t="s">
        <v>509</v>
      </c>
      <c r="C10" s="10" t="s">
        <v>509</v>
      </c>
      <c r="D10" s="9">
        <v>96286</v>
      </c>
      <c r="E10" s="9">
        <v>443</v>
      </c>
      <c r="F10" s="6" t="s">
        <v>510</v>
      </c>
      <c r="G10" s="6" cm="1">
        <f t="array" ref="G1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" s="6" t="str">
        <f>IF(COUNTIFS(TripTable[Country],CountryTable[[#This Row],[Common Name]])=0,"",TEXT(_xlfn.MINIFS(TripTable[Date],TripTable[Country],CountryTable[[#This Row],[Common Name]]),"MMM JJJJ"))</f>
        <v/>
      </c>
      <c r="I10" s="6" t="str">
        <f>IF(COUNTIFS(TripTable[Country],CountryTable[[#This Row],[Common Name]])=0,"",TEXT(_xlfn.MAXIFS(TripTable[Date],TripTable[Country],CountryTable[[#This Row],[Common Name]]),"MMM JJJJ"))</f>
        <v/>
      </c>
      <c r="J10" s="8" t="s">
        <v>1166</v>
      </c>
      <c r="K10" s="6" t="e" vm="9">
        <f t="shared" si="0"/>
        <v>#VALUE!</v>
      </c>
    </row>
    <row r="11" spans="1:11" ht="39" customHeight="1" x14ac:dyDescent="0.2">
      <c r="A11" s="5" t="s">
        <v>485</v>
      </c>
      <c r="B11" s="6" t="s">
        <v>521</v>
      </c>
      <c r="C11" s="10" t="s">
        <v>522</v>
      </c>
      <c r="D11" s="9">
        <v>44494502</v>
      </c>
      <c r="E11" s="9">
        <v>2766890</v>
      </c>
      <c r="F11" s="6" t="s">
        <v>523</v>
      </c>
      <c r="G11" s="6" cm="1">
        <f t="array" ref="G1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" s="6" t="str">
        <f>IF(COUNTIFS(TripTable[Country],CountryTable[[#This Row],[Common Name]])=0,"",TEXT(_xlfn.MINIFS(TripTable[Date],TripTable[Country],CountryTable[[#This Row],[Common Name]]),"MMM JJJJ"))</f>
        <v/>
      </c>
      <c r="I11" s="6" t="str">
        <f>IF(COUNTIFS(TripTable[Country],CountryTable[[#This Row],[Common Name]])=0,"",TEXT(_xlfn.MAXIFS(TripTable[Date],TripTable[Country],CountryTable[[#This Row],[Common Name]]),"MMM JJJJ"))</f>
        <v/>
      </c>
      <c r="J11" s="8" t="s">
        <v>1167</v>
      </c>
      <c r="K11" s="6" t="e" vm="10">
        <f t="shared" si="0"/>
        <v>#VALUE!</v>
      </c>
    </row>
    <row r="12" spans="1:11" ht="39" customHeight="1" x14ac:dyDescent="0.2">
      <c r="A12" s="5" t="s">
        <v>482</v>
      </c>
      <c r="B12" s="6" t="s">
        <v>514</v>
      </c>
      <c r="C12" s="10" t="s">
        <v>515</v>
      </c>
      <c r="D12" s="9">
        <v>3090500</v>
      </c>
      <c r="E12" s="9">
        <v>29800</v>
      </c>
      <c r="F12" s="6" t="s">
        <v>516</v>
      </c>
      <c r="G12" s="6" cm="1">
        <f t="array" ref="G1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" s="6" t="str">
        <f>IF(COUNTIFS(TripTable[Country],CountryTable[[#This Row],[Common Name]])=0,"",TEXT(_xlfn.MINIFS(TripTable[Date],TripTable[Country],CountryTable[[#This Row],[Common Name]]),"MMM JJJJ"))</f>
        <v/>
      </c>
      <c r="I12" s="6" t="str">
        <f>IF(COUNTIFS(TripTable[Country],CountryTable[[#This Row],[Common Name]])=0,"",TEXT(_xlfn.MAXIFS(TripTable[Date],TripTable[Country],CountryTable[[#This Row],[Common Name]]),"MMM JJJJ"))</f>
        <v/>
      </c>
      <c r="J12" s="8" t="s">
        <v>1168</v>
      </c>
      <c r="K12" s="6" t="e" vm="11">
        <f t="shared" si="0"/>
        <v>#VALUE!</v>
      </c>
    </row>
    <row r="13" spans="1:11" ht="39" customHeight="1" x14ac:dyDescent="0.2">
      <c r="A13" s="5" t="s">
        <v>993</v>
      </c>
      <c r="B13" s="6" t="s">
        <v>1005</v>
      </c>
      <c r="C13" s="10" t="s">
        <v>1005</v>
      </c>
      <c r="D13" s="9">
        <v>105845</v>
      </c>
      <c r="E13" s="9">
        <v>193</v>
      </c>
      <c r="F13" s="6" t="s">
        <v>1010</v>
      </c>
      <c r="G13" s="6" cm="1">
        <f t="array" ref="G1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" s="6" t="str">
        <f>IF(COUNTIFS(TripTable[Country],CountryTable[[#This Row],[Common Name]])=0,"",TEXT(_xlfn.MINIFS(TripTable[Date],TripTable[Country],CountryTable[[#This Row],[Common Name]]),"MMM JJJJ"))</f>
        <v/>
      </c>
      <c r="I13" s="6" t="str">
        <f>IF(COUNTIFS(TripTable[Country],CountryTable[[#This Row],[Common Name]])=0,"",TEXT(_xlfn.MAXIFS(TripTable[Date],TripTable[Country],CountryTable[[#This Row],[Common Name]]),"MMM JJJJ"))</f>
        <v/>
      </c>
      <c r="J13" s="8" t="s">
        <v>1169</v>
      </c>
      <c r="K13" s="6" t="e" vm="12">
        <f t="shared" si="0"/>
        <v>#VALUE!</v>
      </c>
    </row>
    <row r="14" spans="1:11" ht="39" customHeight="1" x14ac:dyDescent="0.2">
      <c r="A14" s="5" t="s">
        <v>486</v>
      </c>
      <c r="B14" s="6" t="s">
        <v>524</v>
      </c>
      <c r="C14" s="10" t="s">
        <v>525</v>
      </c>
      <c r="D14" s="9">
        <v>24992369</v>
      </c>
      <c r="E14" s="9">
        <v>7686850</v>
      </c>
      <c r="F14" s="6" t="s">
        <v>526</v>
      </c>
      <c r="G14" s="6" cm="1">
        <f t="array" ref="G1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" s="6" t="str">
        <f>IF(COUNTIFS(TripTable[Country],CountryTable[[#This Row],[Common Name]])=0,"",TEXT(_xlfn.MINIFS(TripTable[Date],TripTable[Country],CountryTable[[#This Row],[Common Name]]),"MMM JJJJ"))</f>
        <v/>
      </c>
      <c r="I14" s="6" t="str">
        <f>IF(COUNTIFS(TripTable[Country],CountryTable[[#This Row],[Common Name]])=0,"",TEXT(_xlfn.MAXIFS(TripTable[Date],TripTable[Country],CountryTable[[#This Row],[Common Name]]),"MMM JJJJ"))</f>
        <v/>
      </c>
      <c r="J14" s="8" t="s">
        <v>1170</v>
      </c>
      <c r="K14" s="6" t="e" vm="13">
        <f t="shared" si="0"/>
        <v>#VALUE!</v>
      </c>
    </row>
    <row r="15" spans="1:11" ht="39" customHeight="1" x14ac:dyDescent="0.2">
      <c r="A15" s="5" t="s">
        <v>85</v>
      </c>
      <c r="B15" s="6" t="s">
        <v>2</v>
      </c>
      <c r="C15" s="10" t="s">
        <v>262</v>
      </c>
      <c r="D15" s="9">
        <v>8847037</v>
      </c>
      <c r="E15" s="9">
        <v>83858</v>
      </c>
      <c r="F15" s="6" t="s">
        <v>75</v>
      </c>
      <c r="G15" s="6" cm="1">
        <f t="array" ref="G15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5" s="6" t="str">
        <f>IF(COUNTIFS(TripTable[Country],CountryTable[[#This Row],[Common Name]])=0,"",TEXT(_xlfn.MINIFS(TripTable[Date],TripTable[Country],CountryTable[[#This Row],[Common Name]]),"MMM JJJJ"))</f>
        <v>Jul 2026</v>
      </c>
      <c r="I15" s="6" t="str">
        <f>IF(COUNTIFS(TripTable[Country],CountryTable[[#This Row],[Common Name]])=0,"",TEXT(_xlfn.MAXIFS(TripTable[Date],TripTable[Country],CountryTable[[#This Row],[Common Name]]),"MMM JJJJ"))</f>
        <v>Jul 2026</v>
      </c>
      <c r="J15" s="8" t="s">
        <v>189</v>
      </c>
      <c r="K15" s="6" t="e" vm="14">
        <f t="shared" si="0"/>
        <v>#VALUE!</v>
      </c>
    </row>
    <row r="16" spans="1:11" ht="39" customHeight="1" x14ac:dyDescent="0.2">
      <c r="A16" s="5" t="s">
        <v>487</v>
      </c>
      <c r="B16" s="6" t="s">
        <v>527</v>
      </c>
      <c r="C16" s="10" t="s">
        <v>528</v>
      </c>
      <c r="D16" s="9">
        <v>10224900</v>
      </c>
      <c r="E16" s="9">
        <v>86600</v>
      </c>
      <c r="F16" s="6" t="s">
        <v>529</v>
      </c>
      <c r="G16" s="6" cm="1">
        <f t="array" ref="G1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" s="6" t="str">
        <f>IF(COUNTIFS(TripTable[Country],CountryTable[[#This Row],[Common Name]])=0,"",TEXT(_xlfn.MINIFS(TripTable[Date],TripTable[Country],CountryTable[[#This Row],[Common Name]]),"MMM JJJJ"))</f>
        <v/>
      </c>
      <c r="I16" s="6" t="str">
        <f>IF(COUNTIFS(TripTable[Country],CountryTable[[#This Row],[Common Name]])=0,"",TEXT(_xlfn.MAXIFS(TripTable[Date],TripTable[Country],CountryTable[[#This Row],[Common Name]]),"MMM JJJJ"))</f>
        <v/>
      </c>
      <c r="J16" s="8" t="s">
        <v>1171</v>
      </c>
      <c r="K16" s="6" t="e" vm="15">
        <f t="shared" si="0"/>
        <v>#VALUE!</v>
      </c>
    </row>
    <row r="17" spans="1:11" ht="39" customHeight="1" x14ac:dyDescent="0.2">
      <c r="A17" s="5" t="s">
        <v>499</v>
      </c>
      <c r="B17" s="6" t="s">
        <v>560</v>
      </c>
      <c r="C17" s="10" t="s">
        <v>561</v>
      </c>
      <c r="D17" s="9">
        <v>385640</v>
      </c>
      <c r="E17" s="9">
        <v>13940</v>
      </c>
      <c r="F17" s="6" t="s">
        <v>562</v>
      </c>
      <c r="G17" s="6" cm="1">
        <f t="array" ref="G1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" s="6" t="str">
        <f>IF(COUNTIFS(TripTable[Country],CountryTable[[#This Row],[Common Name]])=0,"",TEXT(_xlfn.MINIFS(TripTable[Date],TripTable[Country],CountryTable[[#This Row],[Common Name]]),"MMM JJJJ"))</f>
        <v/>
      </c>
      <c r="I17" s="6" t="str">
        <f>IF(COUNTIFS(TripTable[Country],CountryTable[[#This Row],[Common Name]])=0,"",TEXT(_xlfn.MAXIFS(TripTable[Date],TripTable[Country],CountryTable[[#This Row],[Common Name]]),"MMM JJJJ"))</f>
        <v/>
      </c>
      <c r="J17" s="8" t="s">
        <v>1172</v>
      </c>
      <c r="K17" s="6" t="e" vm="16">
        <f t="shared" si="0"/>
        <v>#VALUE!</v>
      </c>
    </row>
    <row r="18" spans="1:11" ht="39" customHeight="1" x14ac:dyDescent="0.2">
      <c r="A18" s="5" t="s">
        <v>492</v>
      </c>
      <c r="B18" s="6" t="s">
        <v>540</v>
      </c>
      <c r="C18" s="10" t="s">
        <v>541</v>
      </c>
      <c r="D18" s="9">
        <v>1569439</v>
      </c>
      <c r="E18" s="9">
        <v>665</v>
      </c>
      <c r="F18" s="6" t="s">
        <v>542</v>
      </c>
      <c r="G18" s="6" cm="1">
        <f t="array" ref="G1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" s="6" t="str">
        <f>IF(COUNTIFS(TripTable[Country],CountryTable[[#This Row],[Common Name]])=0,"",TEXT(_xlfn.MINIFS(TripTable[Date],TripTable[Country],CountryTable[[#This Row],[Common Name]]),"MMM JJJJ"))</f>
        <v/>
      </c>
      <c r="I18" s="6" t="str">
        <f>IF(COUNTIFS(TripTable[Country],CountryTable[[#This Row],[Common Name]])=0,"",TEXT(_xlfn.MAXIFS(TripTable[Date],TripTable[Country],CountryTable[[#This Row],[Common Name]]),"MMM JJJJ"))</f>
        <v/>
      </c>
      <c r="J18" s="8" t="s">
        <v>1173</v>
      </c>
      <c r="K18" s="6" t="e" vm="17">
        <f t="shared" si="0"/>
        <v>#VALUE!</v>
      </c>
    </row>
    <row r="19" spans="1:11" ht="39" customHeight="1" x14ac:dyDescent="0.2">
      <c r="A19" s="5" t="s">
        <v>489</v>
      </c>
      <c r="B19" s="6" t="s">
        <v>532</v>
      </c>
      <c r="C19" s="10" t="s">
        <v>533</v>
      </c>
      <c r="D19" s="9">
        <v>161356039</v>
      </c>
      <c r="E19" s="9">
        <v>144000</v>
      </c>
      <c r="F19" s="6" t="s">
        <v>534</v>
      </c>
      <c r="G19" s="6" cm="1">
        <f t="array" ref="G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" s="6" t="str">
        <f>IF(COUNTIFS(TripTable[Country],CountryTable[[#This Row],[Common Name]])=0,"",TEXT(_xlfn.MINIFS(TripTable[Date],TripTable[Country],CountryTable[[#This Row],[Common Name]]),"MMM JJJJ"))</f>
        <v/>
      </c>
      <c r="I19" s="6" t="str">
        <f>IF(COUNTIFS(TripTable[Country],CountryTable[[#This Row],[Common Name]])=0,"",TEXT(_xlfn.MAXIFS(TripTable[Date],TripTable[Country],CountryTable[[#This Row],[Common Name]]),"MMM JJJJ"))</f>
        <v/>
      </c>
      <c r="J19" s="8" t="s">
        <v>1174</v>
      </c>
      <c r="K19" s="6" t="e" vm="18">
        <f t="shared" si="0"/>
        <v>#VALUE!</v>
      </c>
    </row>
    <row r="20" spans="1:11" ht="39" customHeight="1" x14ac:dyDescent="0.2">
      <c r="A20" s="5" t="s">
        <v>488</v>
      </c>
      <c r="B20" s="6" t="s">
        <v>530</v>
      </c>
      <c r="C20" s="10" t="s">
        <v>530</v>
      </c>
      <c r="D20" s="9">
        <v>286641</v>
      </c>
      <c r="E20" s="9">
        <v>431</v>
      </c>
      <c r="F20" s="6" t="s">
        <v>531</v>
      </c>
      <c r="G20" s="6" cm="1">
        <f t="array" ref="G2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" s="6" t="str">
        <f>IF(COUNTIFS(TripTable[Country],CountryTable[[#This Row],[Common Name]])=0,"",TEXT(_xlfn.MINIFS(TripTable[Date],TripTable[Country],CountryTable[[#This Row],[Common Name]]),"MMM JJJJ"))</f>
        <v/>
      </c>
      <c r="I20" s="6" t="str">
        <f>IF(COUNTIFS(TripTable[Country],CountryTable[[#This Row],[Common Name]])=0,"",TEXT(_xlfn.MAXIFS(TripTable[Date],TripTable[Country],CountryTable[[#This Row],[Common Name]]),"MMM JJJJ"))</f>
        <v/>
      </c>
      <c r="J20" s="8" t="s">
        <v>1175</v>
      </c>
      <c r="K20" s="6" t="e" vm="19">
        <f t="shared" si="0"/>
        <v>#VALUE!</v>
      </c>
    </row>
    <row r="21" spans="1:11" ht="39" customHeight="1" x14ac:dyDescent="0.2">
      <c r="A21" s="5" t="s">
        <v>502</v>
      </c>
      <c r="B21" s="6" t="s">
        <v>569</v>
      </c>
      <c r="C21" s="10" t="s">
        <v>570</v>
      </c>
      <c r="D21" s="9">
        <v>9485386</v>
      </c>
      <c r="E21" s="9">
        <v>207600</v>
      </c>
      <c r="F21" s="6" t="s">
        <v>571</v>
      </c>
      <c r="G21" s="6" cm="1">
        <f t="array" ref="G2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" s="6" t="str">
        <f>IF(COUNTIFS(TripTable[Country],CountryTable[[#This Row],[Common Name]])=0,"",TEXT(_xlfn.MINIFS(TripTable[Date],TripTable[Country],CountryTable[[#This Row],[Common Name]]),"MMM JJJJ"))</f>
        <v/>
      </c>
      <c r="I21" s="6" t="str">
        <f>IF(COUNTIFS(TripTable[Country],CountryTable[[#This Row],[Common Name]])=0,"",TEXT(_xlfn.MAXIFS(TripTable[Date],TripTable[Country],CountryTable[[#This Row],[Common Name]]),"MMM JJJJ"))</f>
        <v/>
      </c>
      <c r="J21" s="8" t="s">
        <v>1176</v>
      </c>
      <c r="K21" s="6" t="e" vm="20">
        <f t="shared" si="0"/>
        <v>#VALUE!</v>
      </c>
    </row>
    <row r="22" spans="1:11" ht="39" customHeight="1" x14ac:dyDescent="0.2">
      <c r="A22" s="5" t="s">
        <v>86</v>
      </c>
      <c r="B22" s="6" t="s">
        <v>3</v>
      </c>
      <c r="C22" s="10" t="s">
        <v>263</v>
      </c>
      <c r="D22" s="9">
        <v>11422068</v>
      </c>
      <c r="E22" s="9">
        <v>30510</v>
      </c>
      <c r="F22" s="6" t="s">
        <v>63</v>
      </c>
      <c r="G22" s="6" cm="1">
        <f t="array" ref="G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" s="6" t="str">
        <f>IF(COUNTIFS(TripTable[Country],CountryTable[[#This Row],[Common Name]])=0,"",TEXT(_xlfn.MINIFS(TripTable[Date],TripTable[Country],CountryTable[[#This Row],[Common Name]]),"MMM JJJJ"))</f>
        <v/>
      </c>
      <c r="I22" s="6" t="str">
        <f>IF(COUNTIFS(TripTable[Country],CountryTable[[#This Row],[Common Name]])=0,"",TEXT(_xlfn.MAXIFS(TripTable[Date],TripTable[Country],CountryTable[[#This Row],[Common Name]]),"MMM JJJJ"))</f>
        <v/>
      </c>
      <c r="J22" s="8" t="s">
        <v>190</v>
      </c>
      <c r="K22" s="6" t="e" vm="21">
        <f t="shared" si="0"/>
        <v>#VALUE!</v>
      </c>
    </row>
    <row r="23" spans="1:11" ht="39" customHeight="1" x14ac:dyDescent="0.2">
      <c r="A23" s="5" t="s">
        <v>406</v>
      </c>
      <c r="B23" s="6" t="s">
        <v>572</v>
      </c>
      <c r="C23" s="10" t="s">
        <v>572</v>
      </c>
      <c r="D23" s="9">
        <v>383071</v>
      </c>
      <c r="E23" s="9">
        <v>22966</v>
      </c>
      <c r="F23" s="6" t="s">
        <v>573</v>
      </c>
      <c r="G23" s="6" cm="1">
        <f t="array" ref="G2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" s="6" t="str">
        <f>IF(COUNTIFS(TripTable[Country],CountryTable[[#This Row],[Common Name]])=0,"",TEXT(_xlfn.MINIFS(TripTable[Date],TripTable[Country],CountryTable[[#This Row],[Common Name]]),"MMM JJJJ"))</f>
        <v/>
      </c>
      <c r="I23" s="6" t="str">
        <f>IF(COUNTIFS(TripTable[Country],CountryTable[[#This Row],[Common Name]])=0,"",TEXT(_xlfn.MAXIFS(TripTable[Date],TripTable[Country],CountryTable[[#This Row],[Common Name]]),"MMM JJJJ"))</f>
        <v/>
      </c>
      <c r="J23" s="8" t="s">
        <v>1177</v>
      </c>
      <c r="K23" s="6" t="e" vm="22">
        <f t="shared" si="0"/>
        <v>#VALUE!</v>
      </c>
    </row>
    <row r="24" spans="1:11" ht="39" customHeight="1" x14ac:dyDescent="0.2">
      <c r="A24" s="5" t="s">
        <v>494</v>
      </c>
      <c r="B24" s="6" t="s">
        <v>546</v>
      </c>
      <c r="C24" s="10" t="s">
        <v>547</v>
      </c>
      <c r="D24" s="9">
        <v>11485048</v>
      </c>
      <c r="E24" s="9">
        <v>112620</v>
      </c>
      <c r="F24" s="6" t="s">
        <v>548</v>
      </c>
      <c r="G24" s="6" cm="1">
        <f t="array" ref="G2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" s="6" t="str">
        <f>IF(COUNTIFS(TripTable[Country],CountryTable[[#This Row],[Common Name]])=0,"",TEXT(_xlfn.MINIFS(TripTable[Date],TripTable[Country],CountryTable[[#This Row],[Common Name]]),"MMM JJJJ"))</f>
        <v/>
      </c>
      <c r="I24" s="6" t="str">
        <f>IF(COUNTIFS(TripTable[Country],CountryTable[[#This Row],[Common Name]])=0,"",TEXT(_xlfn.MAXIFS(TripTable[Date],TripTable[Country],CountryTable[[#This Row],[Common Name]]),"MMM JJJJ"))</f>
        <v/>
      </c>
      <c r="J24" s="8" t="s">
        <v>1178</v>
      </c>
      <c r="K24" s="6" t="e" vm="23">
        <f t="shared" si="0"/>
        <v>#VALUE!</v>
      </c>
    </row>
    <row r="25" spans="1:11" ht="39" customHeight="1" x14ac:dyDescent="0.2">
      <c r="A25" s="5" t="s">
        <v>495</v>
      </c>
      <c r="B25" s="6" t="s">
        <v>549</v>
      </c>
      <c r="C25" s="10" t="s">
        <v>549</v>
      </c>
      <c r="D25" s="9">
        <v>63968</v>
      </c>
      <c r="E25" s="9">
        <v>53</v>
      </c>
      <c r="F25" s="6" t="s">
        <v>550</v>
      </c>
      <c r="G25" s="6" cm="1">
        <f t="array" ref="G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5" s="6" t="str">
        <f>IF(COUNTIFS(TripTable[Country],CountryTable[[#This Row],[Common Name]])=0,"",TEXT(_xlfn.MINIFS(TripTable[Date],TripTable[Country],CountryTable[[#This Row],[Common Name]]),"MMM JJJJ"))</f>
        <v/>
      </c>
      <c r="I25" s="6" t="str">
        <f>IF(COUNTIFS(TripTable[Country],CountryTable[[#This Row],[Common Name]])=0,"",TEXT(_xlfn.MAXIFS(TripTable[Date],TripTable[Country],CountryTable[[#This Row],[Common Name]]),"MMM JJJJ"))</f>
        <v/>
      </c>
      <c r="J25" s="8" t="s">
        <v>1179</v>
      </c>
      <c r="K25" s="6" t="e" vm="24">
        <f t="shared" si="0"/>
        <v>#VALUE!</v>
      </c>
    </row>
    <row r="26" spans="1:11" ht="39" customHeight="1" x14ac:dyDescent="0.2">
      <c r="A26" s="5" t="s">
        <v>500</v>
      </c>
      <c r="B26" s="6" t="s">
        <v>563</v>
      </c>
      <c r="C26" s="10" t="s">
        <v>564</v>
      </c>
      <c r="D26" s="9">
        <v>754394</v>
      </c>
      <c r="E26" s="9">
        <v>47000</v>
      </c>
      <c r="F26" s="6" t="s">
        <v>565</v>
      </c>
      <c r="G26" s="6" cm="1">
        <f t="array" ref="G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6" s="6" t="str">
        <f>IF(COUNTIFS(TripTable[Country],CountryTable[[#This Row],[Common Name]])=0,"",TEXT(_xlfn.MINIFS(TripTable[Date],TripTable[Country],CountryTable[[#This Row],[Common Name]]),"MMM JJJJ"))</f>
        <v/>
      </c>
      <c r="I26" s="6" t="str">
        <f>IF(COUNTIFS(TripTable[Country],CountryTable[[#This Row],[Common Name]])=0,"",TEXT(_xlfn.MAXIFS(TripTable[Date],TripTable[Country],CountryTable[[#This Row],[Common Name]]),"MMM JJJJ"))</f>
        <v/>
      </c>
      <c r="J26" s="8" t="s">
        <v>1180</v>
      </c>
      <c r="K26" s="6" t="e" vm="25">
        <f t="shared" si="0"/>
        <v>#VALUE!</v>
      </c>
    </row>
    <row r="27" spans="1:11" ht="39" customHeight="1" x14ac:dyDescent="0.2">
      <c r="A27" s="5" t="s">
        <v>497</v>
      </c>
      <c r="B27" s="6" t="s">
        <v>554</v>
      </c>
      <c r="C27" s="10" t="s">
        <v>555</v>
      </c>
      <c r="D27" s="9">
        <v>11353142</v>
      </c>
      <c r="E27" s="9">
        <v>1098580</v>
      </c>
      <c r="F27" s="6" t="s">
        <v>556</v>
      </c>
      <c r="G27" s="6" cm="1">
        <f t="array" ref="G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7" s="6" t="str">
        <f>IF(COUNTIFS(TripTable[Country],CountryTable[[#This Row],[Common Name]])=0,"",TEXT(_xlfn.MINIFS(TripTable[Date],TripTable[Country],CountryTable[[#This Row],[Common Name]]),"MMM JJJJ"))</f>
        <v/>
      </c>
      <c r="I27" s="6" t="str">
        <f>IF(COUNTIFS(TripTable[Country],CountryTable[[#This Row],[Common Name]])=0,"",TEXT(_xlfn.MAXIFS(TripTable[Date],TripTable[Country],CountryTable[[#This Row],[Common Name]]),"MMM JJJJ"))</f>
        <v/>
      </c>
      <c r="J27" s="8" t="s">
        <v>1181</v>
      </c>
      <c r="K27" s="6" t="e" vm="26">
        <f t="shared" si="0"/>
        <v>#VALUE!</v>
      </c>
    </row>
    <row r="28" spans="1:11" ht="39" customHeight="1" x14ac:dyDescent="0.2">
      <c r="A28" s="5" t="s">
        <v>87</v>
      </c>
      <c r="B28" s="6" t="s">
        <v>88</v>
      </c>
      <c r="C28" s="10" t="s">
        <v>88</v>
      </c>
      <c r="D28" s="9">
        <v>3323929</v>
      </c>
      <c r="E28" s="9">
        <v>51129</v>
      </c>
      <c r="F28" s="6" t="s">
        <v>89</v>
      </c>
      <c r="G28" s="6" cm="1">
        <f t="array" ref="G2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8" s="6" t="str">
        <f>IF(COUNTIFS(TripTable[Country],CountryTable[[#This Row],[Common Name]])=0,"",TEXT(_xlfn.MINIFS(TripTable[Date],TripTable[Country],CountryTable[[#This Row],[Common Name]]),"MMM JJJJ"))</f>
        <v/>
      </c>
      <c r="I28" s="6" t="str">
        <f>IF(COUNTIFS(TripTable[Country],CountryTable[[#This Row],[Common Name]])=0,"",TEXT(_xlfn.MAXIFS(TripTable[Date],TripTable[Country],CountryTable[[#This Row],[Common Name]]),"MMM JJJJ"))</f>
        <v/>
      </c>
      <c r="J28" s="8" t="s">
        <v>1182</v>
      </c>
      <c r="K28" s="6" t="e" vm="27">
        <f t="shared" si="0"/>
        <v>#VALUE!</v>
      </c>
    </row>
    <row r="29" spans="1:11" ht="39" customHeight="1" x14ac:dyDescent="0.2">
      <c r="A29" s="5" t="s">
        <v>501</v>
      </c>
      <c r="B29" s="6" t="s">
        <v>566</v>
      </c>
      <c r="C29" s="10" t="s">
        <v>567</v>
      </c>
      <c r="D29" s="9">
        <v>2254126</v>
      </c>
      <c r="E29" s="9">
        <v>600370</v>
      </c>
      <c r="F29" s="6" t="s">
        <v>568</v>
      </c>
      <c r="G29" s="6" cm="1">
        <f t="array" ref="G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9" s="6" t="str">
        <f>IF(COUNTIFS(TripTable[Country],CountryTable[[#This Row],[Common Name]])=0,"",TEXT(_xlfn.MINIFS(TripTable[Date],TripTable[Country],CountryTable[[#This Row],[Common Name]]),"MMM JJJJ"))</f>
        <v/>
      </c>
      <c r="I29" s="6" t="str">
        <f>IF(COUNTIFS(TripTable[Country],CountryTable[[#This Row],[Common Name]])=0,"",TEXT(_xlfn.MAXIFS(TripTable[Date],TripTable[Country],CountryTable[[#This Row],[Common Name]]),"MMM JJJJ"))</f>
        <v/>
      </c>
      <c r="J29" s="8" t="s">
        <v>1183</v>
      </c>
      <c r="K29" s="6" t="e" vm="28">
        <f t="shared" si="0"/>
        <v>#VALUE!</v>
      </c>
    </row>
    <row r="30" spans="1:11" ht="39" customHeight="1" x14ac:dyDescent="0.2">
      <c r="A30" s="5" t="s">
        <v>498</v>
      </c>
      <c r="B30" s="6" t="s">
        <v>557</v>
      </c>
      <c r="C30" s="10" t="s">
        <v>558</v>
      </c>
      <c r="D30" s="9">
        <v>209469333</v>
      </c>
      <c r="E30" s="9">
        <v>8511965</v>
      </c>
      <c r="F30" s="6" t="s">
        <v>559</v>
      </c>
      <c r="G30" s="6" cm="1">
        <f t="array" ref="G3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0" s="6" t="str">
        <f>IF(COUNTIFS(TripTable[Country],CountryTable[[#This Row],[Common Name]])=0,"",TEXT(_xlfn.MINIFS(TripTable[Date],TripTable[Country],CountryTable[[#This Row],[Common Name]]),"MMM JJJJ"))</f>
        <v/>
      </c>
      <c r="I30" s="6" t="str">
        <f>IF(COUNTIFS(TripTable[Country],CountryTable[[#This Row],[Common Name]])=0,"",TEXT(_xlfn.MAXIFS(TripTable[Date],TripTable[Country],CountryTable[[#This Row],[Common Name]]),"MMM JJJJ"))</f>
        <v/>
      </c>
      <c r="J30" s="8" t="s">
        <v>1184</v>
      </c>
      <c r="K30" s="6" t="e" vm="29">
        <f t="shared" si="0"/>
        <v>#VALUE!</v>
      </c>
    </row>
    <row r="31" spans="1:11" ht="39" customHeight="1" x14ac:dyDescent="0.2">
      <c r="A31" s="5" t="s">
        <v>945</v>
      </c>
      <c r="B31" s="6" t="s">
        <v>962</v>
      </c>
      <c r="C31" s="10" t="s">
        <v>963</v>
      </c>
      <c r="D31" s="9">
        <v>29802</v>
      </c>
      <c r="E31" s="9">
        <v>153</v>
      </c>
      <c r="F31" s="6" t="s">
        <v>1145</v>
      </c>
      <c r="G31" s="6" cm="1">
        <f t="array" ref="G3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1" s="6" t="str">
        <f>IF(COUNTIFS(TripTable[Country],CountryTable[[#This Row],[Common Name]])=0,"",TEXT(_xlfn.MINIFS(TripTable[Date],TripTable[Country],CountryTable[[#This Row],[Common Name]]),"MMM JJJJ"))</f>
        <v/>
      </c>
      <c r="I31" s="6" t="str">
        <f>IF(COUNTIFS(TripTable[Country],CountryTable[[#This Row],[Common Name]])=0,"",TEXT(_xlfn.MAXIFS(TripTable[Date],TripTable[Country],CountryTable[[#This Row],[Common Name]]),"MMM JJJJ"))</f>
        <v/>
      </c>
      <c r="J31" s="8" t="s">
        <v>1185</v>
      </c>
      <c r="K31" s="6" t="e" vm="30">
        <f t="shared" si="0"/>
        <v>#VALUE!</v>
      </c>
    </row>
    <row r="32" spans="1:11" ht="39" customHeight="1" x14ac:dyDescent="0.2">
      <c r="A32" s="5" t="s">
        <v>496</v>
      </c>
      <c r="B32" s="6" t="s">
        <v>551</v>
      </c>
      <c r="C32" s="10" t="s">
        <v>552</v>
      </c>
      <c r="D32" s="9">
        <v>428962</v>
      </c>
      <c r="E32" s="9">
        <v>5770</v>
      </c>
      <c r="F32" s="6" t="s">
        <v>553</v>
      </c>
      <c r="G32" s="6" cm="1">
        <f t="array" ref="G3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2" s="6" t="str">
        <f>IF(COUNTIFS(TripTable[Country],CountryTable[[#This Row],[Common Name]])=0,"",TEXT(_xlfn.MINIFS(TripTable[Date],TripTable[Country],CountryTable[[#This Row],[Common Name]]),"MMM JJJJ"))</f>
        <v/>
      </c>
      <c r="I32" s="6" t="str">
        <f>IF(COUNTIFS(TripTable[Country],CountryTable[[#This Row],[Common Name]])=0,"",TEXT(_xlfn.MAXIFS(TripTable[Date],TripTable[Country],CountryTable[[#This Row],[Common Name]]),"MMM JJJJ"))</f>
        <v/>
      </c>
      <c r="J32" s="8" t="s">
        <v>1186</v>
      </c>
      <c r="K32" s="6" t="e" vm="31">
        <f t="shared" si="0"/>
        <v>#VALUE!</v>
      </c>
    </row>
    <row r="33" spans="1:11" ht="39" customHeight="1" x14ac:dyDescent="0.2">
      <c r="A33" s="5" t="s">
        <v>491</v>
      </c>
      <c r="B33" s="6" t="s">
        <v>537</v>
      </c>
      <c r="C33" s="10" t="s">
        <v>538</v>
      </c>
      <c r="D33" s="9">
        <v>7000039</v>
      </c>
      <c r="E33" s="9">
        <v>110910</v>
      </c>
      <c r="F33" s="6" t="s">
        <v>539</v>
      </c>
      <c r="G33" s="6" cm="1">
        <f t="array" ref="G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3" s="6" t="str">
        <f>IF(COUNTIFS(TripTable[Country],CountryTable[[#This Row],[Common Name]])=0,"",TEXT(_xlfn.MINIFS(TripTable[Date],TripTable[Country],CountryTable[[#This Row],[Common Name]]),"MMM JJJJ"))</f>
        <v/>
      </c>
      <c r="I33" s="6" t="str">
        <f>IF(COUNTIFS(TripTable[Country],CountryTable[[#This Row],[Common Name]])=0,"",TEXT(_xlfn.MAXIFS(TripTable[Date],TripTable[Country],CountryTable[[#This Row],[Common Name]]),"MMM JJJJ"))</f>
        <v/>
      </c>
      <c r="J33" s="8" t="s">
        <v>1187</v>
      </c>
      <c r="K33" s="6" t="e" vm="32">
        <f t="shared" si="0"/>
        <v>#VALUE!</v>
      </c>
    </row>
    <row r="34" spans="1:11" ht="39" customHeight="1" x14ac:dyDescent="0.2">
      <c r="A34" s="5" t="s">
        <v>490</v>
      </c>
      <c r="B34" s="6" t="s">
        <v>535</v>
      </c>
      <c r="C34" s="10" t="s">
        <v>535</v>
      </c>
      <c r="D34" s="9">
        <v>19751535</v>
      </c>
      <c r="E34" s="9">
        <v>274200</v>
      </c>
      <c r="F34" s="6" t="s">
        <v>536</v>
      </c>
      <c r="G34" s="6" cm="1">
        <f t="array" ref="G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4" s="6" t="str">
        <f>IF(COUNTIFS(TripTable[Country],CountryTable[[#This Row],[Common Name]])=0,"",TEXT(_xlfn.MINIFS(TripTable[Date],TripTable[Country],CountryTable[[#This Row],[Common Name]]),"MMM JJJJ"))</f>
        <v/>
      </c>
      <c r="I34" s="6" t="str">
        <f>IF(COUNTIFS(TripTable[Country],CountryTable[[#This Row],[Common Name]])=0,"",TEXT(_xlfn.MAXIFS(TripTable[Date],TripTable[Country],CountryTable[[#This Row],[Common Name]]),"MMM JJJJ"))</f>
        <v/>
      </c>
      <c r="J34" s="8" t="s">
        <v>1188</v>
      </c>
      <c r="K34" s="6" t="e" vm="33">
        <f t="shared" ref="K34:K65" si="1">_xlfn.IMAGE("https://flagsapi.com/" &amp; A34 &amp; "/flat/64.png", "Flag of " &amp; A34,0)</f>
        <v>#VALUE!</v>
      </c>
    </row>
    <row r="35" spans="1:11" ht="39" customHeight="1" x14ac:dyDescent="0.2">
      <c r="A35" s="5" t="s">
        <v>493</v>
      </c>
      <c r="B35" s="6" t="s">
        <v>543</v>
      </c>
      <c r="C35" s="10" t="s">
        <v>544</v>
      </c>
      <c r="D35" s="9">
        <v>11175378</v>
      </c>
      <c r="E35" s="9">
        <v>27830</v>
      </c>
      <c r="F35" s="6" t="s">
        <v>545</v>
      </c>
      <c r="G35" s="6" cm="1">
        <f t="array" ref="G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5" s="6" t="str">
        <f>IF(COUNTIFS(TripTable[Country],CountryTable[[#This Row],[Common Name]])=0,"",TEXT(_xlfn.MINIFS(TripTable[Date],TripTable[Country],CountryTable[[#This Row],[Common Name]]),"MMM JJJJ"))</f>
        <v/>
      </c>
      <c r="I35" s="6" t="str">
        <f>IF(COUNTIFS(TripTable[Country],CountryTable[[#This Row],[Common Name]])=0,"",TEXT(_xlfn.MAXIFS(TripTable[Date],TripTable[Country],CountryTable[[#This Row],[Common Name]]),"MMM JJJJ"))</f>
        <v/>
      </c>
      <c r="J35" s="8" t="s">
        <v>1189</v>
      </c>
      <c r="K35" s="6" t="e" vm="34">
        <f t="shared" si="1"/>
        <v>#VALUE!</v>
      </c>
    </row>
    <row r="36" spans="1:11" ht="39" customHeight="1" x14ac:dyDescent="0.2">
      <c r="A36" s="5" t="s">
        <v>583</v>
      </c>
      <c r="B36" s="6" t="s">
        <v>634</v>
      </c>
      <c r="C36" s="10" t="s">
        <v>635</v>
      </c>
      <c r="D36" s="9">
        <v>543767</v>
      </c>
      <c r="E36" s="9">
        <v>4033</v>
      </c>
      <c r="F36" s="6" t="s">
        <v>1023</v>
      </c>
      <c r="G36" s="6" cm="1">
        <f t="array" ref="G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6" s="6" t="str">
        <f>IF(COUNTIFS(TripTable[Country],CountryTable[[#This Row],[Common Name]])=0,"",TEXT(_xlfn.MINIFS(TripTable[Date],TripTable[Country],CountryTable[[#This Row],[Common Name]]),"MMM JJJJ"))</f>
        <v/>
      </c>
      <c r="I36" s="6" t="str">
        <f>IF(COUNTIFS(TripTable[Country],CountryTable[[#This Row],[Common Name]])=0,"",TEXT(_xlfn.MAXIFS(TripTable[Date],TripTable[Country],CountryTable[[#This Row],[Common Name]]),"MMM JJJJ"))</f>
        <v/>
      </c>
      <c r="J36" s="8" t="s">
        <v>1190</v>
      </c>
      <c r="K36" s="6" t="e" vm="35">
        <f t="shared" si="1"/>
        <v>#VALUE!</v>
      </c>
    </row>
    <row r="37" spans="1:11" ht="39" customHeight="1" x14ac:dyDescent="0.2">
      <c r="A37" s="5" t="s">
        <v>90</v>
      </c>
      <c r="B37" s="6" t="s">
        <v>4</v>
      </c>
      <c r="C37" s="10" t="s">
        <v>264</v>
      </c>
      <c r="D37" s="9">
        <v>16249798</v>
      </c>
      <c r="E37" s="9">
        <v>181040</v>
      </c>
      <c r="F37" s="6" t="s">
        <v>91</v>
      </c>
      <c r="G37" s="6" cm="1">
        <f t="array" ref="G3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7" s="6" t="str">
        <f>IF(COUNTIFS(TripTable[Country],CountryTable[[#This Row],[Common Name]])=0,"",TEXT(_xlfn.MINIFS(TripTable[Date],TripTable[Country],CountryTable[[#This Row],[Common Name]]),"MMM JJJJ"))</f>
        <v/>
      </c>
      <c r="I37" s="6" t="str">
        <f>IF(COUNTIFS(TripTable[Country],CountryTable[[#This Row],[Common Name]])=0,"",TEXT(_xlfn.MAXIFS(TripTable[Date],TripTable[Country],CountryTable[[#This Row],[Common Name]]),"MMM JJJJ"))</f>
        <v/>
      </c>
      <c r="J37" s="8" t="s">
        <v>191</v>
      </c>
      <c r="K37" s="6" t="e" vm="36">
        <f t="shared" si="1"/>
        <v>#VALUE!</v>
      </c>
    </row>
    <row r="38" spans="1:11" ht="39" customHeight="1" x14ac:dyDescent="0.2">
      <c r="A38" s="5" t="s">
        <v>342</v>
      </c>
      <c r="B38" s="6" t="s">
        <v>628</v>
      </c>
      <c r="C38" s="10" t="s">
        <v>629</v>
      </c>
      <c r="D38" s="9">
        <v>25216237</v>
      </c>
      <c r="E38" s="9">
        <v>475440</v>
      </c>
      <c r="F38" s="6" t="s">
        <v>1020</v>
      </c>
      <c r="G38" s="6" cm="1">
        <f t="array" ref="G3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8" s="6" t="str">
        <f>IF(COUNTIFS(TripTable[Country],CountryTable[[#This Row],[Common Name]])=0,"",TEXT(_xlfn.MINIFS(TripTable[Date],TripTable[Country],CountryTable[[#This Row],[Common Name]]),"MMM JJJJ"))</f>
        <v/>
      </c>
      <c r="I38" s="6" t="str">
        <f>IF(COUNTIFS(TripTable[Country],CountryTable[[#This Row],[Common Name]])=0,"",TEXT(_xlfn.MAXIFS(TripTable[Date],TripTable[Country],CountryTable[[#This Row],[Common Name]]),"MMM JJJJ"))</f>
        <v/>
      </c>
      <c r="J38" s="8" t="s">
        <v>1191</v>
      </c>
      <c r="K38" s="6" t="e" vm="37">
        <f t="shared" si="1"/>
        <v>#VALUE!</v>
      </c>
    </row>
    <row r="39" spans="1:11" ht="39" customHeight="1" x14ac:dyDescent="0.2">
      <c r="A39" s="5" t="s">
        <v>92</v>
      </c>
      <c r="B39" s="6" t="s">
        <v>5</v>
      </c>
      <c r="C39" s="10" t="s">
        <v>5</v>
      </c>
      <c r="D39" s="9">
        <v>37058856</v>
      </c>
      <c r="E39" s="9">
        <v>9984670</v>
      </c>
      <c r="F39" s="6" t="s">
        <v>251</v>
      </c>
      <c r="G39" s="6" cm="1">
        <f t="array" ref="G3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9" s="6" t="str">
        <f>IF(COUNTIFS(TripTable[Country],CountryTable[[#This Row],[Common Name]])=0,"",TEXT(_xlfn.MINIFS(TripTable[Date],TripTable[Country],CountryTable[[#This Row],[Common Name]]),"MMM JJJJ"))</f>
        <v/>
      </c>
      <c r="I39" s="6" t="str">
        <f>IF(COUNTIFS(TripTable[Country],CountryTable[[#This Row],[Common Name]])=0,"",TEXT(_xlfn.MAXIFS(TripTable[Date],TripTable[Country],CountryTable[[#This Row],[Common Name]]),"MMM JJJJ"))</f>
        <v/>
      </c>
      <c r="J39" s="8" t="s">
        <v>192</v>
      </c>
      <c r="K39" s="6" t="e" vm="38">
        <f t="shared" si="1"/>
        <v>#VALUE!</v>
      </c>
    </row>
    <row r="40" spans="1:11" ht="39" customHeight="1" x14ac:dyDescent="0.2">
      <c r="A40" s="5" t="s">
        <v>991</v>
      </c>
      <c r="B40" s="6" t="s">
        <v>1001</v>
      </c>
      <c r="C40" s="10" t="s">
        <v>1002</v>
      </c>
      <c r="D40" s="9">
        <v>18012</v>
      </c>
      <c r="E40" s="9">
        <v>328</v>
      </c>
      <c r="F40" s="6" t="s">
        <v>1012</v>
      </c>
      <c r="G40" s="6" cm="1">
        <f t="array" ref="G4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0" s="6" t="str">
        <f>IF(COUNTIFS(TripTable[Country],CountryTable[[#This Row],[Common Name]])=0,"",TEXT(_xlfn.MINIFS(TripTable[Date],TripTable[Country],CountryTable[[#This Row],[Common Name]]),"MMM JJJJ"))</f>
        <v/>
      </c>
      <c r="I40" s="6" t="str">
        <f>IF(COUNTIFS(TripTable[Country],CountryTable[[#This Row],[Common Name]])=0,"",TEXT(_xlfn.MAXIFS(TripTable[Date],TripTable[Country],CountryTable[[#This Row],[Common Name]]),"MMM JJJJ"))</f>
        <v/>
      </c>
      <c r="J40" s="8" t="s">
        <v>1192</v>
      </c>
      <c r="K40" s="6" t="e" vm="39">
        <f>_xlfn.IMAGE("https://thumb.wikimedia.org/wikipedia/commons/thumb/2/20/Flag_of_the_Netherlands.svg/1280px-Flag_of_the_Netherlands.svg.png", "Flag of " &amp; A40,0)</f>
        <v>#VALUE!</v>
      </c>
    </row>
    <row r="41" spans="1:11" ht="39" customHeight="1" x14ac:dyDescent="0.2">
      <c r="A41" s="5" t="s">
        <v>706</v>
      </c>
      <c r="B41" s="6" t="s">
        <v>736</v>
      </c>
      <c r="C41" s="10" t="s">
        <v>736</v>
      </c>
      <c r="D41" s="9">
        <v>64174</v>
      </c>
      <c r="E41" s="9">
        <v>262</v>
      </c>
      <c r="F41" s="6" t="s">
        <v>1067</v>
      </c>
      <c r="G41" s="6" cm="1">
        <f t="array" ref="G4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1" s="6" t="str">
        <f>IF(COUNTIFS(TripTable[Country],CountryTable[[#This Row],[Common Name]])=0,"",TEXT(_xlfn.MINIFS(TripTable[Date],TripTable[Country],CountryTable[[#This Row],[Common Name]]),"MMM JJJJ"))</f>
        <v/>
      </c>
      <c r="I41" s="6" t="str">
        <f>IF(COUNTIFS(TripTable[Country],CountryTable[[#This Row],[Common Name]])=0,"",TEXT(_xlfn.MAXIFS(TripTable[Date],TripTable[Country],CountryTable[[#This Row],[Common Name]]),"MMM JJJJ"))</f>
        <v/>
      </c>
      <c r="J41" s="8" t="s">
        <v>1193</v>
      </c>
      <c r="K41" s="6" t="e" vm="40">
        <f t="shared" si="1"/>
        <v>#VALUE!</v>
      </c>
    </row>
    <row r="42" spans="1:11" ht="39" customHeight="1" x14ac:dyDescent="0.2">
      <c r="A42" s="5" t="s">
        <v>576</v>
      </c>
      <c r="B42" s="6" t="s">
        <v>620</v>
      </c>
      <c r="C42" s="10" t="s">
        <v>620</v>
      </c>
      <c r="D42" s="9">
        <v>4666377</v>
      </c>
      <c r="E42" s="9">
        <v>622984</v>
      </c>
      <c r="F42" s="6" t="s">
        <v>1015</v>
      </c>
      <c r="G42" s="6" cm="1">
        <f t="array" ref="G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2" s="6" t="str">
        <f>IF(COUNTIFS(TripTable[Country],CountryTable[[#This Row],[Common Name]])=0,"",TEXT(_xlfn.MINIFS(TripTable[Date],TripTable[Country],CountryTable[[#This Row],[Common Name]]),"MMM JJJJ"))</f>
        <v/>
      </c>
      <c r="I42" s="6" t="str">
        <f>IF(COUNTIFS(TripTable[Country],CountryTable[[#This Row],[Common Name]])=0,"",TEXT(_xlfn.MAXIFS(TripTable[Date],TripTable[Country],CountryTable[[#This Row],[Common Name]]),"MMM JJJJ"))</f>
        <v/>
      </c>
      <c r="J42" s="8" t="s">
        <v>1194</v>
      </c>
      <c r="K42" s="6" t="e" vm="41">
        <f t="shared" si="1"/>
        <v>#VALUE!</v>
      </c>
    </row>
    <row r="43" spans="1:11" ht="39" customHeight="1" x14ac:dyDescent="0.2">
      <c r="A43" s="5" t="s">
        <v>909</v>
      </c>
      <c r="B43" s="6" t="s">
        <v>920</v>
      </c>
      <c r="C43" s="10" t="s">
        <v>921</v>
      </c>
      <c r="D43" s="9">
        <v>15477751</v>
      </c>
      <c r="E43" s="9">
        <v>1284000</v>
      </c>
      <c r="F43" s="6" t="s">
        <v>1129</v>
      </c>
      <c r="G43" s="6" cm="1">
        <f t="array" ref="G4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3" s="6" t="str">
        <f>IF(COUNTIFS(TripTable[Country],CountryTable[[#This Row],[Common Name]])=0,"",TEXT(_xlfn.MINIFS(TripTable[Date],TripTable[Country],CountryTable[[#This Row],[Common Name]]),"MMM JJJJ"))</f>
        <v/>
      </c>
      <c r="I43" s="6" t="str">
        <f>IF(COUNTIFS(TripTable[Country],CountryTable[[#This Row],[Common Name]])=0,"",TEXT(_xlfn.MAXIFS(TripTable[Date],TripTable[Country],CountryTable[[#This Row],[Common Name]]),"MMM JJJJ"))</f>
        <v/>
      </c>
      <c r="J43" s="8" t="s">
        <v>1195</v>
      </c>
      <c r="K43" s="6" t="e" vm="42">
        <f t="shared" si="1"/>
        <v>#VALUE!</v>
      </c>
    </row>
    <row r="44" spans="1:11" ht="39" customHeight="1" x14ac:dyDescent="0.2">
      <c r="A44" s="5" t="s">
        <v>580</v>
      </c>
      <c r="B44" s="6" t="s">
        <v>626</v>
      </c>
      <c r="C44" s="10" t="s">
        <v>627</v>
      </c>
      <c r="D44" s="9">
        <v>18729160</v>
      </c>
      <c r="E44" s="9">
        <v>756950</v>
      </c>
      <c r="F44" s="6" t="s">
        <v>1019</v>
      </c>
      <c r="G44" s="6" cm="1">
        <f t="array" ref="G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4" s="6" t="str">
        <f>IF(COUNTIFS(TripTable[Country],CountryTable[[#This Row],[Common Name]])=0,"",TEXT(_xlfn.MINIFS(TripTable[Date],TripTable[Country],CountryTable[[#This Row],[Common Name]]),"MMM JJJJ"))</f>
        <v/>
      </c>
      <c r="I44" s="6" t="str">
        <f>IF(COUNTIFS(TripTable[Country],CountryTable[[#This Row],[Common Name]])=0,"",TEXT(_xlfn.MAXIFS(TripTable[Date],TripTable[Country],CountryTable[[#This Row],[Common Name]]),"MMM JJJJ"))</f>
        <v/>
      </c>
      <c r="J44" s="8" t="s">
        <v>1196</v>
      </c>
      <c r="K44" s="6" t="e" vm="43">
        <f t="shared" si="1"/>
        <v>#VALUE!</v>
      </c>
    </row>
    <row r="45" spans="1:11" ht="39" customHeight="1" x14ac:dyDescent="0.2">
      <c r="A45" s="5" t="s">
        <v>93</v>
      </c>
      <c r="B45" s="6" t="s">
        <v>6</v>
      </c>
      <c r="C45" s="10" t="s">
        <v>265</v>
      </c>
      <c r="D45" s="9">
        <v>1411778724</v>
      </c>
      <c r="E45" s="9">
        <v>9596960</v>
      </c>
      <c r="F45" s="6" t="s">
        <v>67</v>
      </c>
      <c r="G45" s="6" cm="1">
        <f t="array" ref="G4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5" s="6" t="str">
        <f>IF(COUNTIFS(TripTable[Country],CountryTable[[#This Row],[Common Name]])=0,"",TEXT(_xlfn.MINIFS(TripTable[Date],TripTable[Country],CountryTable[[#This Row],[Common Name]]),"MMM JJJJ"))</f>
        <v/>
      </c>
      <c r="I45" s="6" t="str">
        <f>IF(COUNTIFS(TripTable[Country],CountryTable[[#This Row],[Common Name]])=0,"",TEXT(_xlfn.MAXIFS(TripTable[Date],TripTable[Country],CountryTable[[#This Row],[Common Name]]),"MMM JJJJ"))</f>
        <v/>
      </c>
      <c r="J45" s="8" t="s">
        <v>193</v>
      </c>
      <c r="K45" s="6" t="e" vm="44">
        <f t="shared" si="1"/>
        <v>#VALUE!</v>
      </c>
    </row>
    <row r="46" spans="1:11" ht="39" customHeight="1" x14ac:dyDescent="0.2">
      <c r="A46" s="5" t="s">
        <v>584</v>
      </c>
      <c r="B46" s="6" t="s">
        <v>636</v>
      </c>
      <c r="C46" s="10" t="s">
        <v>637</v>
      </c>
      <c r="D46" s="9">
        <v>1500</v>
      </c>
      <c r="E46" s="9">
        <v>135</v>
      </c>
      <c r="F46" s="6" t="s">
        <v>1025</v>
      </c>
      <c r="G46" s="6" cm="1">
        <f t="array" ref="G4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6" s="6" t="str">
        <f>IF(COUNTIFS(TripTable[Country],CountryTable[[#This Row],[Common Name]])=0,"",TEXT(_xlfn.MINIFS(TripTable[Date],TripTable[Country],CountryTable[[#This Row],[Common Name]]),"MMM JJJJ"))</f>
        <v/>
      </c>
      <c r="I46" s="6" t="str">
        <f>IF(COUNTIFS(TripTable[Country],CountryTable[[#This Row],[Common Name]])=0,"",TEXT(_xlfn.MAXIFS(TripTable[Date],TripTable[Country],CountryTable[[#This Row],[Common Name]]),"MMM JJJJ"))</f>
        <v/>
      </c>
      <c r="J46" s="8" t="s">
        <v>1197</v>
      </c>
      <c r="K46" s="6" t="e" vm="45">
        <f t="shared" si="1"/>
        <v>#VALUE!</v>
      </c>
    </row>
    <row r="47" spans="1:11" ht="39" customHeight="1" x14ac:dyDescent="0.2">
      <c r="A47" s="5" t="s">
        <v>574</v>
      </c>
      <c r="B47" s="6" t="s">
        <v>616</v>
      </c>
      <c r="C47" s="10" t="s">
        <v>617</v>
      </c>
      <c r="D47" s="9">
        <v>628</v>
      </c>
      <c r="E47" s="9">
        <v>14</v>
      </c>
      <c r="F47" s="6" t="s">
        <v>1013</v>
      </c>
      <c r="G47" s="6" cm="1">
        <f t="array" ref="G4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7" s="6" t="str">
        <f>IF(COUNTIFS(TripTable[Country],CountryTable[[#This Row],[Common Name]])=0,"",TEXT(_xlfn.MINIFS(TripTable[Date],TripTable[Country],CountryTable[[#This Row],[Common Name]]),"MMM JJJJ"))</f>
        <v/>
      </c>
      <c r="I47" s="6" t="str">
        <f>IF(COUNTIFS(TripTable[Country],CountryTable[[#This Row],[Common Name]])=0,"",TEXT(_xlfn.MAXIFS(TripTable[Date],TripTable[Country],CountryTable[[#This Row],[Common Name]]),"MMM JJJJ"))</f>
        <v/>
      </c>
      <c r="J47" s="8" t="s">
        <v>1198</v>
      </c>
      <c r="K47" s="6" t="e" vm="46">
        <f t="shared" si="1"/>
        <v>#VALUE!</v>
      </c>
    </row>
    <row r="48" spans="1:11" ht="39" customHeight="1" x14ac:dyDescent="0.2">
      <c r="A48" s="5" t="s">
        <v>581</v>
      </c>
      <c r="B48" s="6" t="s">
        <v>630</v>
      </c>
      <c r="C48" s="10" t="s">
        <v>631</v>
      </c>
      <c r="D48" s="9">
        <v>49648685</v>
      </c>
      <c r="E48" s="9">
        <v>1138910</v>
      </c>
      <c r="F48" s="6" t="s">
        <v>1021</v>
      </c>
      <c r="G48" s="6" cm="1">
        <f t="array" ref="G4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8" s="6" t="str">
        <f>IF(COUNTIFS(TripTable[Country],CountryTable[[#This Row],[Common Name]])=0,"",TEXT(_xlfn.MINIFS(TripTable[Date],TripTable[Country],CountryTable[[#This Row],[Common Name]]),"MMM JJJJ"))</f>
        <v/>
      </c>
      <c r="I48" s="6" t="str">
        <f>IF(COUNTIFS(TripTable[Country],CountryTable[[#This Row],[Common Name]])=0,"",TEXT(_xlfn.MAXIFS(TripTable[Date],TripTable[Country],CountryTable[[#This Row],[Common Name]]),"MMM JJJJ"))</f>
        <v/>
      </c>
      <c r="J48" s="8" t="s">
        <v>1199</v>
      </c>
      <c r="K48" s="6" t="e" vm="47">
        <f t="shared" si="1"/>
        <v>#VALUE!</v>
      </c>
    </row>
    <row r="49" spans="1:11" ht="39" customHeight="1" x14ac:dyDescent="0.2">
      <c r="A49" s="5" t="s">
        <v>374</v>
      </c>
      <c r="B49" s="6" t="s">
        <v>728</v>
      </c>
      <c r="C49" s="10" t="s">
        <v>729</v>
      </c>
      <c r="D49" s="9">
        <v>832322</v>
      </c>
      <c r="E49" s="9">
        <v>2170</v>
      </c>
      <c r="F49" s="6" t="s">
        <v>1063</v>
      </c>
      <c r="G49" s="6" cm="1">
        <f t="array" ref="G4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9" s="6" t="str">
        <f>IF(COUNTIFS(TripTable[Country],CountryTable[[#This Row],[Common Name]])=0,"",TEXT(_xlfn.MINIFS(TripTable[Date],TripTable[Country],CountryTable[[#This Row],[Common Name]]),"MMM JJJJ"))</f>
        <v/>
      </c>
      <c r="I49" s="6" t="str">
        <f>IF(COUNTIFS(TripTable[Country],CountryTable[[#This Row],[Common Name]])=0,"",TEXT(_xlfn.MAXIFS(TripTable[Date],TripTable[Country],CountryTable[[#This Row],[Common Name]]),"MMM JJJJ"))</f>
        <v/>
      </c>
      <c r="J49" s="8" t="s">
        <v>1200</v>
      </c>
      <c r="K49" s="6" t="e" vm="48">
        <f t="shared" si="1"/>
        <v>#VALUE!</v>
      </c>
    </row>
    <row r="50" spans="1:11" ht="39" customHeight="1" x14ac:dyDescent="0.2">
      <c r="A50" s="5" t="s">
        <v>577</v>
      </c>
      <c r="B50" s="6" t="s">
        <v>621</v>
      </c>
      <c r="C50" s="10" t="s">
        <v>622</v>
      </c>
      <c r="D50" s="9">
        <v>5244363</v>
      </c>
      <c r="E50" s="9">
        <v>342000</v>
      </c>
      <c r="F50" s="6" t="s">
        <v>1016</v>
      </c>
      <c r="G50" s="6" cm="1">
        <f t="array" ref="G5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0" s="6" t="str">
        <f>IF(COUNTIFS(TripTable[Country],CountryTable[[#This Row],[Common Name]])=0,"",TEXT(_xlfn.MINIFS(TripTable[Date],TripTable[Country],CountryTable[[#This Row],[Common Name]]),"MMM JJJJ"))</f>
        <v/>
      </c>
      <c r="I50" s="6" t="str">
        <f>IF(COUNTIFS(TripTable[Country],CountryTable[[#This Row],[Common Name]])=0,"",TEXT(_xlfn.MAXIFS(TripTable[Date],TripTable[Country],CountryTable[[#This Row],[Common Name]]),"MMM JJJJ"))</f>
        <v/>
      </c>
      <c r="J50" s="8" t="s">
        <v>1201</v>
      </c>
      <c r="K50" s="6" t="e" vm="49">
        <f t="shared" si="1"/>
        <v>#VALUE!</v>
      </c>
    </row>
    <row r="51" spans="1:11" ht="39" customHeight="1" x14ac:dyDescent="0.2">
      <c r="A51" s="5" t="s">
        <v>579</v>
      </c>
      <c r="B51" s="6" t="s">
        <v>625</v>
      </c>
      <c r="C51" s="10" t="s">
        <v>625</v>
      </c>
      <c r="D51" s="9">
        <v>21388</v>
      </c>
      <c r="E51" s="9">
        <v>240</v>
      </c>
      <c r="F51" s="6" t="s">
        <v>1018</v>
      </c>
      <c r="G51" s="6" cm="1">
        <f t="array" ref="G5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1" s="6" t="str">
        <f>IF(COUNTIFS(TripTable[Country],CountryTable[[#This Row],[Common Name]])=0,"",TEXT(_xlfn.MINIFS(TripTable[Date],TripTable[Country],CountryTable[[#This Row],[Common Name]]),"MMM JJJJ"))</f>
        <v/>
      </c>
      <c r="I51" s="6" t="str">
        <f>IF(COUNTIFS(TripTable[Country],CountryTable[[#This Row],[Common Name]])=0,"",TEXT(_xlfn.MAXIFS(TripTable[Date],TripTable[Country],CountryTable[[#This Row],[Common Name]]),"MMM JJJJ"))</f>
        <v/>
      </c>
      <c r="J51" s="8" t="s">
        <v>1202</v>
      </c>
      <c r="K51" s="6" t="e" vm="50">
        <f t="shared" si="1"/>
        <v>#VALUE!</v>
      </c>
    </row>
    <row r="52" spans="1:11" ht="39" customHeight="1" x14ac:dyDescent="0.2">
      <c r="A52" s="5" t="s">
        <v>176</v>
      </c>
      <c r="B52" s="6" t="s">
        <v>7</v>
      </c>
      <c r="C52" s="10" t="s">
        <v>266</v>
      </c>
      <c r="D52" s="9">
        <v>4999441</v>
      </c>
      <c r="E52" s="9">
        <v>51100</v>
      </c>
      <c r="F52" s="6" t="s">
        <v>252</v>
      </c>
      <c r="G52" s="6" cm="1">
        <f t="array" ref="G5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2" s="6" t="str">
        <f>IF(COUNTIFS(TripTable[Country],CountryTable[[#This Row],[Common Name]])=0,"",TEXT(_xlfn.MINIFS(TripTable[Date],TripTable[Country],CountryTable[[#This Row],[Common Name]]),"MMM JJJJ"))</f>
        <v/>
      </c>
      <c r="I52" s="6" t="str">
        <f>IF(COUNTIFS(TripTable[Country],CountryTable[[#This Row],[Common Name]])=0,"",TEXT(_xlfn.MAXIFS(TripTable[Date],TripTable[Country],CountryTable[[#This Row],[Common Name]]),"MMM JJJJ"))</f>
        <v/>
      </c>
      <c r="J52" s="8" t="s">
        <v>245</v>
      </c>
      <c r="K52" s="6" t="e" vm="51">
        <f t="shared" si="1"/>
        <v>#VALUE!</v>
      </c>
    </row>
    <row r="53" spans="1:11" ht="39" customHeight="1" x14ac:dyDescent="0.2">
      <c r="A53" s="5" t="s">
        <v>97</v>
      </c>
      <c r="B53" s="6" t="s">
        <v>8</v>
      </c>
      <c r="C53" s="10" t="s">
        <v>267</v>
      </c>
      <c r="D53" s="9">
        <v>3871833</v>
      </c>
      <c r="E53" s="9">
        <v>56542</v>
      </c>
      <c r="F53" s="6" t="s">
        <v>76</v>
      </c>
      <c r="G53" s="6" cm="1">
        <f t="array" ref="G5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3" s="6" t="str">
        <f>IF(COUNTIFS(TripTable[Country],CountryTable[[#This Row],[Common Name]])=0,"",TEXT(_xlfn.MINIFS(TripTable[Date],TripTable[Country],CountryTable[[#This Row],[Common Name]]),"MMM JJJJ"))</f>
        <v/>
      </c>
      <c r="I53" s="6" t="str">
        <f>IF(COUNTIFS(TripTable[Country],CountryTable[[#This Row],[Common Name]])=0,"",TEXT(_xlfn.MAXIFS(TripTable[Date],TripTable[Country],CountryTable[[#This Row],[Common Name]]),"MMM JJJJ"))</f>
        <v/>
      </c>
      <c r="J53" s="8" t="s">
        <v>194</v>
      </c>
      <c r="K53" s="6" t="e" vm="52">
        <f t="shared" si="1"/>
        <v>#VALUE!</v>
      </c>
    </row>
    <row r="54" spans="1:11" ht="39" customHeight="1" x14ac:dyDescent="0.2">
      <c r="A54" s="5" t="s">
        <v>582</v>
      </c>
      <c r="B54" s="6" t="s">
        <v>632</v>
      </c>
      <c r="C54" s="10" t="s">
        <v>633</v>
      </c>
      <c r="D54" s="9">
        <v>11338138</v>
      </c>
      <c r="E54" s="9">
        <v>110860</v>
      </c>
      <c r="F54" s="6" t="s">
        <v>1022</v>
      </c>
      <c r="G54" s="6" cm="1">
        <f t="array" ref="G5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4" s="6" t="str">
        <f>IF(COUNTIFS(TripTable[Country],CountryTable[[#This Row],[Common Name]])=0,"",TEXT(_xlfn.MINIFS(TripTable[Date],TripTable[Country],CountryTable[[#This Row],[Common Name]]),"MMM JJJJ"))</f>
        <v/>
      </c>
      <c r="I54" s="6" t="str">
        <f>IF(COUNTIFS(TripTable[Country],CountryTable[[#This Row],[Common Name]])=0,"",TEXT(_xlfn.MAXIFS(TripTable[Date],TripTable[Country],CountryTable[[#This Row],[Common Name]]),"MMM JJJJ"))</f>
        <v/>
      </c>
      <c r="J54" s="8" t="s">
        <v>1203</v>
      </c>
      <c r="K54" s="6" t="e" vm="53">
        <f t="shared" si="1"/>
        <v>#VALUE!</v>
      </c>
    </row>
    <row r="55" spans="1:11" ht="39" customHeight="1" x14ac:dyDescent="0.2">
      <c r="A55" s="5" t="s">
        <v>990</v>
      </c>
      <c r="B55" s="6" t="s">
        <v>999</v>
      </c>
      <c r="C55" s="10" t="s">
        <v>1000</v>
      </c>
      <c r="D55" s="9">
        <v>159849</v>
      </c>
      <c r="E55" s="9">
        <v>444</v>
      </c>
      <c r="F55" s="6" t="s">
        <v>1024</v>
      </c>
      <c r="G55" s="6" cm="1">
        <f t="array" ref="G5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5" s="6" t="str">
        <f>IF(COUNTIFS(TripTable[Country],CountryTable[[#This Row],[Common Name]])=0,"",TEXT(_xlfn.MINIFS(TripTable[Date],TripTable[Country],CountryTable[[#This Row],[Common Name]]),"MMM JJJJ"))</f>
        <v/>
      </c>
      <c r="I55" s="6" t="str">
        <f>IF(COUNTIFS(TripTable[Country],CountryTable[[#This Row],[Common Name]])=0,"",TEXT(_xlfn.MAXIFS(TripTable[Date],TripTable[Country],CountryTable[[#This Row],[Common Name]]),"MMM JJJJ"))</f>
        <v/>
      </c>
      <c r="J55" s="8" t="s">
        <v>1204</v>
      </c>
      <c r="K55" s="6" t="e" vm="54">
        <f t="shared" si="1"/>
        <v>#VALUE!</v>
      </c>
    </row>
    <row r="56" spans="1:11" ht="39" customHeight="1" x14ac:dyDescent="0.2">
      <c r="A56" s="5" t="s">
        <v>98</v>
      </c>
      <c r="B56" s="6" t="s">
        <v>9</v>
      </c>
      <c r="C56" s="10" t="s">
        <v>268</v>
      </c>
      <c r="D56" s="9">
        <v>1189265</v>
      </c>
      <c r="E56" s="9">
        <v>9250</v>
      </c>
      <c r="F56" s="6" t="s">
        <v>99</v>
      </c>
      <c r="G56" s="6" cm="1">
        <f t="array" ref="G5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6" s="6" t="str">
        <f>IF(COUNTIFS(TripTable[Country],CountryTable[[#This Row],[Common Name]])=0,"",TEXT(_xlfn.MINIFS(TripTable[Date],TripTable[Country],CountryTable[[#This Row],[Common Name]]),"MMM JJJJ"))</f>
        <v/>
      </c>
      <c r="I56" s="6" t="str">
        <f>IF(COUNTIFS(TripTable[Country],CountryTable[[#This Row],[Common Name]])=0,"",TEXT(_xlfn.MAXIFS(TripTable[Date],TripTable[Country],CountryTable[[#This Row],[Common Name]]),"MMM JJJJ"))</f>
        <v/>
      </c>
      <c r="J56" s="8" t="s">
        <v>195</v>
      </c>
      <c r="K56" s="6" t="e" vm="55">
        <f t="shared" si="1"/>
        <v>#VALUE!</v>
      </c>
    </row>
    <row r="57" spans="1:11" ht="39" customHeight="1" x14ac:dyDescent="0.2">
      <c r="A57" s="5" t="s">
        <v>100</v>
      </c>
      <c r="B57" s="6" t="s">
        <v>10</v>
      </c>
      <c r="C57" s="10" t="s">
        <v>269</v>
      </c>
      <c r="D57" s="9">
        <v>10625695</v>
      </c>
      <c r="E57" s="9">
        <v>78866</v>
      </c>
      <c r="F57" s="6" t="s">
        <v>59</v>
      </c>
      <c r="G57" s="6" cm="1">
        <f t="array" ref="G5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7" s="6" t="str">
        <f>IF(COUNTIFS(TripTable[Country],CountryTable[[#This Row],[Common Name]])=0,"",TEXT(_xlfn.MINIFS(TripTable[Date],TripTable[Country],CountryTable[[#This Row],[Common Name]]),"MMM JJJJ"))</f>
        <v/>
      </c>
      <c r="I57" s="6" t="str">
        <f>IF(COUNTIFS(TripTable[Country],CountryTable[[#This Row],[Common Name]])=0,"",TEXT(_xlfn.MAXIFS(TripTable[Date],TripTable[Country],CountryTable[[#This Row],[Common Name]]),"MMM JJJJ"))</f>
        <v/>
      </c>
      <c r="J57" s="8" t="s">
        <v>1205</v>
      </c>
      <c r="K57" s="6" t="e" vm="56">
        <f t="shared" si="1"/>
        <v>#VALUE!</v>
      </c>
    </row>
    <row r="58" spans="1:11" ht="39" customHeight="1" x14ac:dyDescent="0.2">
      <c r="A58" s="5" t="s">
        <v>101</v>
      </c>
      <c r="B58" s="6" t="s">
        <v>11</v>
      </c>
      <c r="C58" s="10" t="s">
        <v>270</v>
      </c>
      <c r="D58" s="9">
        <v>5797446</v>
      </c>
      <c r="E58" s="9">
        <v>43094</v>
      </c>
      <c r="F58" s="6" t="s">
        <v>102</v>
      </c>
      <c r="G58" s="6" cm="1">
        <f t="array" ref="G5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8" s="6" t="str">
        <f>IF(COUNTIFS(TripTable[Country],CountryTable[[#This Row],[Common Name]])=0,"",TEXT(_xlfn.MINIFS(TripTable[Date],TripTable[Country],CountryTable[[#This Row],[Common Name]]),"MMM JJJJ"))</f>
        <v/>
      </c>
      <c r="I58" s="6" t="str">
        <f>IF(COUNTIFS(TripTable[Country],CountryTable[[#This Row],[Common Name]])=0,"",TEXT(_xlfn.MAXIFS(TripTable[Date],TripTable[Country],CountryTable[[#This Row],[Common Name]]),"MMM JJJJ"))</f>
        <v/>
      </c>
      <c r="J58" s="8" t="s">
        <v>196</v>
      </c>
      <c r="K58" s="6" t="e" vm="57">
        <f t="shared" si="1"/>
        <v>#VALUE!</v>
      </c>
    </row>
    <row r="59" spans="1:11" ht="39" customHeight="1" x14ac:dyDescent="0.2">
      <c r="A59" s="5" t="s">
        <v>585</v>
      </c>
      <c r="B59" s="6" t="s">
        <v>638</v>
      </c>
      <c r="C59" s="10" t="s">
        <v>639</v>
      </c>
      <c r="D59" s="9">
        <v>958920</v>
      </c>
      <c r="E59" s="9">
        <v>23000</v>
      </c>
      <c r="F59" s="6" t="s">
        <v>638</v>
      </c>
      <c r="G59" s="6" cm="1">
        <f t="array" ref="G5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9" s="6" t="str">
        <f>IF(COUNTIFS(TripTable[Country],CountryTable[[#This Row],[Common Name]])=0,"",TEXT(_xlfn.MINIFS(TripTable[Date],TripTable[Country],CountryTable[[#This Row],[Common Name]]),"MMM JJJJ"))</f>
        <v/>
      </c>
      <c r="I59" s="6" t="str">
        <f>IF(COUNTIFS(TripTable[Country],CountryTable[[#This Row],[Common Name]])=0,"",TEXT(_xlfn.MAXIFS(TripTable[Date],TripTable[Country],CountryTable[[#This Row],[Common Name]]),"MMM JJJJ"))</f>
        <v/>
      </c>
      <c r="J59" s="8" t="s">
        <v>1206</v>
      </c>
      <c r="K59" s="6" t="e" vm="58">
        <f t="shared" si="1"/>
        <v>#VALUE!</v>
      </c>
    </row>
    <row r="60" spans="1:11" ht="39" customHeight="1" x14ac:dyDescent="0.2">
      <c r="A60" s="5" t="s">
        <v>586</v>
      </c>
      <c r="B60" s="6" t="s">
        <v>640</v>
      </c>
      <c r="C60" s="10" t="s">
        <v>641</v>
      </c>
      <c r="D60" s="9">
        <v>71625</v>
      </c>
      <c r="E60" s="9">
        <v>754</v>
      </c>
      <c r="F60" s="6" t="s">
        <v>1026</v>
      </c>
      <c r="G60" s="6" cm="1">
        <f t="array" ref="G6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0" s="6" t="str">
        <f>IF(COUNTIFS(TripTable[Country],CountryTable[[#This Row],[Common Name]])=0,"",TEXT(_xlfn.MINIFS(TripTable[Date],TripTable[Country],CountryTable[[#This Row],[Common Name]]),"MMM JJJJ"))</f>
        <v/>
      </c>
      <c r="I60" s="6" t="str">
        <f>IF(COUNTIFS(TripTable[Country],CountryTable[[#This Row],[Common Name]])=0,"",TEXT(_xlfn.MAXIFS(TripTable[Date],TripTable[Country],CountryTable[[#This Row],[Common Name]]),"MMM JJJJ"))</f>
        <v/>
      </c>
      <c r="J60" s="8" t="s">
        <v>1207</v>
      </c>
      <c r="K60" s="6" t="e" vm="59">
        <f t="shared" si="1"/>
        <v>#VALUE!</v>
      </c>
    </row>
    <row r="61" spans="1:11" ht="39" customHeight="1" x14ac:dyDescent="0.2">
      <c r="A61" s="5" t="s">
        <v>587</v>
      </c>
      <c r="B61" s="6" t="s">
        <v>642</v>
      </c>
      <c r="C61" s="10" t="s">
        <v>642</v>
      </c>
      <c r="D61" s="9">
        <v>10627165</v>
      </c>
      <c r="E61" s="9">
        <v>48730</v>
      </c>
      <c r="F61" s="6" t="s">
        <v>1027</v>
      </c>
      <c r="G61" s="6" cm="1">
        <f t="array" ref="G6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1" s="6" t="str">
        <f>IF(COUNTIFS(TripTable[Country],CountryTable[[#This Row],[Common Name]])=0,"",TEXT(_xlfn.MINIFS(TripTable[Date],TripTable[Country],CountryTable[[#This Row],[Common Name]]),"MMM JJJJ"))</f>
        <v/>
      </c>
      <c r="I61" s="6" t="str">
        <f>IF(COUNTIFS(TripTable[Country],CountryTable[[#This Row],[Common Name]])=0,"",TEXT(_xlfn.MAXIFS(TripTable[Date],TripTable[Country],CountryTable[[#This Row],[Common Name]]),"MMM JJJJ"))</f>
        <v/>
      </c>
      <c r="J61" s="8" t="s">
        <v>1208</v>
      </c>
      <c r="K61" s="6" t="e" vm="60">
        <f t="shared" si="1"/>
        <v>#VALUE!</v>
      </c>
    </row>
    <row r="62" spans="1:11" ht="39" customHeight="1" x14ac:dyDescent="0.2">
      <c r="A62" s="5" t="s">
        <v>575</v>
      </c>
      <c r="B62" s="6" t="s">
        <v>618</v>
      </c>
      <c r="C62" s="10" t="s">
        <v>619</v>
      </c>
      <c r="D62" s="9">
        <v>84068091</v>
      </c>
      <c r="E62" s="9">
        <v>2345410</v>
      </c>
      <c r="F62" s="6" t="s">
        <v>1014</v>
      </c>
      <c r="G62" s="6" cm="1">
        <f t="array" ref="G6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2" s="6" t="str">
        <f>IF(COUNTIFS(TripTable[Country],CountryTable[[#This Row],[Common Name]])=0,"",TEXT(_xlfn.MINIFS(TripTable[Date],TripTable[Country],CountryTable[[#This Row],[Common Name]]),"MMM JJJJ"))</f>
        <v/>
      </c>
      <c r="I62" s="6" t="str">
        <f>IF(COUNTIFS(TripTable[Country],CountryTable[[#This Row],[Common Name]])=0,"",TEXT(_xlfn.MAXIFS(TripTable[Date],TripTable[Country],CountryTable[[#This Row],[Common Name]]),"MMM JJJJ"))</f>
        <v/>
      </c>
      <c r="J62" s="8" t="s">
        <v>1209</v>
      </c>
      <c r="K62" s="6" t="e" vm="61">
        <f t="shared" si="1"/>
        <v>#VALUE!</v>
      </c>
    </row>
    <row r="63" spans="1:11" ht="39" customHeight="1" x14ac:dyDescent="0.2">
      <c r="A63" s="5" t="s">
        <v>589</v>
      </c>
      <c r="B63" s="6" t="s">
        <v>645</v>
      </c>
      <c r="C63" s="10" t="s">
        <v>646</v>
      </c>
      <c r="D63" s="9">
        <v>17084357</v>
      </c>
      <c r="E63" s="9">
        <v>283560</v>
      </c>
      <c r="F63" s="6" t="s">
        <v>1029</v>
      </c>
      <c r="G63" s="6" cm="1">
        <f t="array" ref="G6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3" s="6" t="str">
        <f>IF(COUNTIFS(TripTable[Country],CountryTable[[#This Row],[Common Name]])=0,"",TEXT(_xlfn.MINIFS(TripTable[Date],TripTable[Country],CountryTable[[#This Row],[Common Name]]),"MMM JJJJ"))</f>
        <v/>
      </c>
      <c r="I63" s="6" t="str">
        <f>IF(COUNTIFS(TripTable[Country],CountryTable[[#This Row],[Common Name]])=0,"",TEXT(_xlfn.MAXIFS(TripTable[Date],TripTable[Country],CountryTable[[#This Row],[Common Name]]),"MMM JJJJ"))</f>
        <v/>
      </c>
      <c r="J63" s="8" t="s">
        <v>1210</v>
      </c>
      <c r="K63" s="6" t="e" vm="62">
        <f t="shared" si="1"/>
        <v>#VALUE!</v>
      </c>
    </row>
    <row r="64" spans="1:11" ht="39" customHeight="1" x14ac:dyDescent="0.2">
      <c r="A64" s="5" t="s">
        <v>591</v>
      </c>
      <c r="B64" s="6" t="s">
        <v>649</v>
      </c>
      <c r="C64" s="10" t="s">
        <v>650</v>
      </c>
      <c r="D64" s="9">
        <v>98423595</v>
      </c>
      <c r="E64" s="9">
        <v>1001450</v>
      </c>
      <c r="F64" s="6" t="s">
        <v>1031</v>
      </c>
      <c r="G64" s="6" cm="1">
        <f t="array" ref="G6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4" s="6" t="str">
        <f>IF(COUNTIFS(TripTable[Country],CountryTable[[#This Row],[Common Name]])=0,"",TEXT(_xlfn.MINIFS(TripTable[Date],TripTable[Country],CountryTable[[#This Row],[Common Name]]),"MMM JJJJ"))</f>
        <v/>
      </c>
      <c r="I64" s="6" t="str">
        <f>IF(COUNTIFS(TripTable[Country],CountryTable[[#This Row],[Common Name]])=0,"",TEXT(_xlfn.MAXIFS(TripTable[Date],TripTable[Country],CountryTable[[#This Row],[Common Name]]),"MMM JJJJ"))</f>
        <v/>
      </c>
      <c r="J64" s="8" t="s">
        <v>1211</v>
      </c>
      <c r="K64" s="6" t="e" vm="63">
        <f t="shared" si="1"/>
        <v>#VALUE!</v>
      </c>
    </row>
    <row r="65" spans="1:11" ht="39" customHeight="1" x14ac:dyDescent="0.2">
      <c r="A65" s="5" t="s">
        <v>875</v>
      </c>
      <c r="B65" s="6" t="s">
        <v>901</v>
      </c>
      <c r="C65" s="10" t="s">
        <v>902</v>
      </c>
      <c r="D65" s="9">
        <v>6420744</v>
      </c>
      <c r="E65" s="9">
        <v>21040</v>
      </c>
      <c r="F65" s="6" t="s">
        <v>1124</v>
      </c>
      <c r="G65" s="6" cm="1">
        <f t="array" ref="G6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5" s="6" t="str">
        <f>IF(COUNTIFS(TripTable[Country],CountryTable[[#This Row],[Common Name]])=0,"",TEXT(_xlfn.MINIFS(TripTable[Date],TripTable[Country],CountryTable[[#This Row],[Common Name]]),"MMM JJJJ"))</f>
        <v/>
      </c>
      <c r="I65" s="6" t="str">
        <f>IF(COUNTIFS(TripTable[Country],CountryTable[[#This Row],[Common Name]])=0,"",TEXT(_xlfn.MAXIFS(TripTable[Date],TripTable[Country],CountryTable[[#This Row],[Common Name]]),"MMM JJJJ"))</f>
        <v/>
      </c>
      <c r="J65" s="8" t="s">
        <v>1212</v>
      </c>
      <c r="K65" s="6" t="e" vm="64">
        <f t="shared" si="1"/>
        <v>#VALUE!</v>
      </c>
    </row>
    <row r="66" spans="1:11" ht="39" customHeight="1" x14ac:dyDescent="0.2">
      <c r="A66" s="5" t="s">
        <v>608</v>
      </c>
      <c r="B66" s="6" t="s">
        <v>678</v>
      </c>
      <c r="C66" s="10" t="s">
        <v>679</v>
      </c>
      <c r="D66" s="9">
        <v>1308974</v>
      </c>
      <c r="E66" s="9">
        <v>28051</v>
      </c>
      <c r="F66" s="6" t="s">
        <v>1047</v>
      </c>
      <c r="G66" s="6" cm="1">
        <f t="array" ref="G6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6" s="6" t="str">
        <f>IF(COUNTIFS(TripTable[Country],CountryTable[[#This Row],[Common Name]])=0,"",TEXT(_xlfn.MINIFS(TripTable[Date],TripTable[Country],CountryTable[[#This Row],[Common Name]]),"MMM JJJJ"))</f>
        <v/>
      </c>
      <c r="I66" s="6" t="str">
        <f>IF(COUNTIFS(TripTable[Country],CountryTable[[#This Row],[Common Name]])=0,"",TEXT(_xlfn.MAXIFS(TripTable[Date],TripTable[Country],CountryTable[[#This Row],[Common Name]]),"MMM JJJJ"))</f>
        <v/>
      </c>
      <c r="J66" s="8" t="s">
        <v>1213</v>
      </c>
      <c r="K66" s="6" t="e" vm="65">
        <f t="shared" ref="K66:K97" si="2">_xlfn.IMAGE("https://flagsapi.com/" &amp; A66 &amp; "/flat/64.png", "Flag of " &amp; A66,0)</f>
        <v>#VALUE!</v>
      </c>
    </row>
    <row r="67" spans="1:11" ht="39" customHeight="1" x14ac:dyDescent="0.2">
      <c r="A67" s="5" t="s">
        <v>593</v>
      </c>
      <c r="B67" s="6" t="s">
        <v>653</v>
      </c>
      <c r="C67" s="10" t="s">
        <v>654</v>
      </c>
      <c r="D67" s="9">
        <v>6209262</v>
      </c>
      <c r="E67" s="9">
        <v>121320</v>
      </c>
      <c r="F67" s="6" t="s">
        <v>1032</v>
      </c>
      <c r="G67" s="6" cm="1">
        <f t="array" ref="G6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7" s="6" t="str">
        <f>IF(COUNTIFS(TripTable[Country],CountryTable[[#This Row],[Common Name]])=0,"",TEXT(_xlfn.MINIFS(TripTable[Date],TripTable[Country],CountryTable[[#This Row],[Common Name]]),"MMM JJJJ"))</f>
        <v/>
      </c>
      <c r="I67" s="6" t="str">
        <f>IF(COUNTIFS(TripTable[Country],CountryTable[[#This Row],[Common Name]])=0,"",TEXT(_xlfn.MAXIFS(TripTable[Date],TripTable[Country],CountryTable[[#This Row],[Common Name]]),"MMM JJJJ"))</f>
        <v/>
      </c>
      <c r="J67" s="8" t="s">
        <v>1214</v>
      </c>
      <c r="K67" s="6" t="e" vm="66">
        <f t="shared" si="2"/>
        <v>#VALUE!</v>
      </c>
    </row>
    <row r="68" spans="1:11" ht="39" customHeight="1" x14ac:dyDescent="0.2">
      <c r="A68" s="5" t="s">
        <v>590</v>
      </c>
      <c r="B68" s="6" t="s">
        <v>647</v>
      </c>
      <c r="C68" s="10" t="s">
        <v>648</v>
      </c>
      <c r="D68" s="9">
        <v>1320884</v>
      </c>
      <c r="E68" s="9">
        <v>45226</v>
      </c>
      <c r="F68" s="6" t="s">
        <v>1030</v>
      </c>
      <c r="G68" s="6" cm="1">
        <f t="array" ref="G6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8" s="6" t="str">
        <f>IF(COUNTIFS(TripTable[Country],CountryTable[[#This Row],[Common Name]])=0,"",TEXT(_xlfn.MINIFS(TripTable[Date],TripTable[Country],CountryTable[[#This Row],[Common Name]]),"MMM JJJJ"))</f>
        <v/>
      </c>
      <c r="I68" s="6" t="str">
        <f>IF(COUNTIFS(TripTable[Country],CountryTable[[#This Row],[Common Name]])=0,"",TEXT(_xlfn.MAXIFS(TripTable[Date],TripTable[Country],CountryTable[[#This Row],[Common Name]]),"MMM JJJJ"))</f>
        <v/>
      </c>
      <c r="J68" s="8" t="s">
        <v>1215</v>
      </c>
      <c r="K68" s="6" t="e" vm="67">
        <f t="shared" si="2"/>
        <v>#VALUE!</v>
      </c>
    </row>
    <row r="69" spans="1:11" ht="39" customHeight="1" x14ac:dyDescent="0.2">
      <c r="A69" s="5" t="s">
        <v>878</v>
      </c>
      <c r="B69" s="6" t="s">
        <v>906</v>
      </c>
      <c r="C69" s="10" t="s">
        <v>907</v>
      </c>
      <c r="D69" s="9">
        <v>1136191</v>
      </c>
      <c r="E69" s="9">
        <v>17363</v>
      </c>
      <c r="F69" s="6" t="s">
        <v>1127</v>
      </c>
      <c r="G69" s="6" cm="1">
        <f t="array" ref="G6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9" s="6" t="str">
        <f>IF(COUNTIFS(TripTable[Country],CountryTable[[#This Row],[Common Name]])=0,"",TEXT(_xlfn.MINIFS(TripTable[Date],TripTable[Country],CountryTable[[#This Row],[Common Name]]),"MMM JJJJ"))</f>
        <v/>
      </c>
      <c r="I69" s="6" t="str">
        <f>IF(COUNTIFS(TripTable[Country],CountryTable[[#This Row],[Common Name]])=0,"",TEXT(_xlfn.MAXIFS(TripTable[Date],TripTable[Country],CountryTable[[#This Row],[Common Name]]),"MMM JJJJ"))</f>
        <v/>
      </c>
      <c r="J69" s="8" t="s">
        <v>1216</v>
      </c>
      <c r="K69" s="6" t="e" vm="68">
        <f t="shared" si="2"/>
        <v>#VALUE!</v>
      </c>
    </row>
    <row r="70" spans="1:11" ht="39" customHeight="1" x14ac:dyDescent="0.2">
      <c r="A70" s="5" t="s">
        <v>594</v>
      </c>
      <c r="B70" s="6" t="s">
        <v>655</v>
      </c>
      <c r="C70" s="10" t="s">
        <v>656</v>
      </c>
      <c r="D70" s="9">
        <v>109224559</v>
      </c>
      <c r="E70" s="9">
        <v>1127127</v>
      </c>
      <c r="F70" s="6" t="s">
        <v>1033</v>
      </c>
      <c r="G70" s="6" cm="1">
        <f t="array" ref="G7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0" s="6" t="str">
        <f>IF(COUNTIFS(TripTable[Country],CountryTable[[#This Row],[Common Name]])=0,"",TEXT(_xlfn.MINIFS(TripTable[Date],TripTable[Country],CountryTable[[#This Row],[Common Name]]),"MMM JJJJ"))</f>
        <v/>
      </c>
      <c r="I70" s="6" t="str">
        <f>IF(COUNTIFS(TripTable[Country],CountryTable[[#This Row],[Common Name]])=0,"",TEXT(_xlfn.MAXIFS(TripTable[Date],TripTable[Country],CountryTable[[#This Row],[Common Name]]),"MMM JJJJ"))</f>
        <v/>
      </c>
      <c r="J70" s="8" t="s">
        <v>1217</v>
      </c>
      <c r="K70" s="6" t="e" vm="69">
        <f t="shared" si="2"/>
        <v>#VALUE!</v>
      </c>
    </row>
    <row r="71" spans="1:11" ht="39" customHeight="1" x14ac:dyDescent="0.2">
      <c r="A71" s="5" t="s">
        <v>596</v>
      </c>
      <c r="B71" s="6" t="s">
        <v>659</v>
      </c>
      <c r="C71" s="10" t="s">
        <v>659</v>
      </c>
      <c r="D71" s="9">
        <v>2638</v>
      </c>
      <c r="E71" s="9">
        <v>12173</v>
      </c>
      <c r="F71" s="6" t="s">
        <v>1035</v>
      </c>
      <c r="G71" s="6" cm="1">
        <f t="array" ref="G7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1" s="6" t="str">
        <f>IF(COUNTIFS(TripTable[Country],CountryTable[[#This Row],[Common Name]])=0,"",TEXT(_xlfn.MINIFS(TripTable[Date],TripTable[Country],CountryTable[[#This Row],[Common Name]]),"MMM JJJJ"))</f>
        <v/>
      </c>
      <c r="I71" s="6" t="str">
        <f>IF(COUNTIFS(TripTable[Country],CountryTable[[#This Row],[Common Name]])=0,"",TEXT(_xlfn.MAXIFS(TripTable[Date],TripTable[Country],CountryTable[[#This Row],[Common Name]]),"MMM JJJJ"))</f>
        <v/>
      </c>
      <c r="J71" s="8" t="s">
        <v>1218</v>
      </c>
      <c r="K71" s="6" t="e" vm="70">
        <f t="shared" si="2"/>
        <v>#VALUE!</v>
      </c>
    </row>
    <row r="72" spans="1:11" ht="39" customHeight="1" x14ac:dyDescent="0.2">
      <c r="A72" s="5" t="s">
        <v>598</v>
      </c>
      <c r="B72" s="6" t="s">
        <v>662</v>
      </c>
      <c r="C72" s="10" t="s">
        <v>662</v>
      </c>
      <c r="D72" s="9">
        <v>48497</v>
      </c>
      <c r="E72" s="9">
        <v>1399</v>
      </c>
      <c r="F72" s="6" t="s">
        <v>1037</v>
      </c>
      <c r="G72" s="6" cm="1">
        <f t="array" ref="G7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2" s="6" t="str">
        <f>IF(COUNTIFS(TripTable[Country],CountryTable[[#This Row],[Common Name]])=0,"",TEXT(_xlfn.MINIFS(TripTable[Date],TripTable[Country],CountryTable[[#This Row],[Common Name]]),"MMM JJJJ"))</f>
        <v/>
      </c>
      <c r="I72" s="6" t="str">
        <f>IF(COUNTIFS(TripTable[Country],CountryTable[[#This Row],[Common Name]])=0,"",TEXT(_xlfn.MAXIFS(TripTable[Date],TripTable[Country],CountryTable[[#This Row],[Common Name]]),"MMM JJJJ"))</f>
        <v/>
      </c>
      <c r="J72" s="8" t="s">
        <v>1219</v>
      </c>
      <c r="K72" s="6" t="e" vm="71">
        <f t="shared" si="2"/>
        <v>#VALUE!</v>
      </c>
    </row>
    <row r="73" spans="1:11" ht="39" customHeight="1" x14ac:dyDescent="0.2">
      <c r="A73" s="5" t="s">
        <v>595</v>
      </c>
      <c r="B73" s="6" t="s">
        <v>657</v>
      </c>
      <c r="C73" s="10" t="s">
        <v>658</v>
      </c>
      <c r="D73" s="9">
        <v>883483</v>
      </c>
      <c r="E73" s="9">
        <v>18270</v>
      </c>
      <c r="F73" s="6" t="s">
        <v>1034</v>
      </c>
      <c r="G73" s="6" cm="1">
        <f t="array" ref="G7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3" s="6" t="str">
        <f>IF(COUNTIFS(TripTable[Country],CountryTable[[#This Row],[Common Name]])=0,"",TEXT(_xlfn.MINIFS(TripTable[Date],TripTable[Country],CountryTable[[#This Row],[Common Name]]),"MMM JJJJ"))</f>
        <v/>
      </c>
      <c r="I73" s="6" t="str">
        <f>IF(COUNTIFS(TripTable[Country],CountryTable[[#This Row],[Common Name]])=0,"",TEXT(_xlfn.MAXIFS(TripTable[Date],TripTable[Country],CountryTable[[#This Row],[Common Name]]),"MMM JJJJ"))</f>
        <v/>
      </c>
      <c r="J73" s="8" t="s">
        <v>1220</v>
      </c>
      <c r="K73" s="6" t="e" vm="72">
        <f t="shared" si="2"/>
        <v>#VALUE!</v>
      </c>
    </row>
    <row r="74" spans="1:11" ht="39" customHeight="1" x14ac:dyDescent="0.2">
      <c r="A74" s="5" t="s">
        <v>472</v>
      </c>
      <c r="B74" s="6" t="s">
        <v>470</v>
      </c>
      <c r="C74" s="10" t="s">
        <v>473</v>
      </c>
      <c r="D74" s="9">
        <v>5518050</v>
      </c>
      <c r="E74" s="9">
        <v>337030</v>
      </c>
      <c r="F74" s="6" t="s">
        <v>471</v>
      </c>
      <c r="G74" s="6" cm="1">
        <f t="array" ref="G7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4" s="6" t="str">
        <f>IF(COUNTIFS(TripTable[Country],CountryTable[[#This Row],[Common Name]])=0,"",TEXT(_xlfn.MINIFS(TripTable[Date],TripTable[Country],CountryTable[[#This Row],[Common Name]]),"MMM JJJJ"))</f>
        <v/>
      </c>
      <c r="I74" s="6" t="str">
        <f>IF(COUNTIFS(TripTable[Country],CountryTable[[#This Row],[Common Name]])=0,"",TEXT(_xlfn.MAXIFS(TripTable[Date],TripTable[Country],CountryTable[[#This Row],[Common Name]]),"MMM JJJJ"))</f>
        <v/>
      </c>
      <c r="J74" s="8" t="s">
        <v>1221</v>
      </c>
      <c r="K74" s="6" t="e" vm="73">
        <f t="shared" si="2"/>
        <v>#VALUE!</v>
      </c>
    </row>
    <row r="75" spans="1:11" ht="39" customHeight="1" x14ac:dyDescent="0.2">
      <c r="A75" s="5" t="s">
        <v>103</v>
      </c>
      <c r="B75" s="6" t="s">
        <v>12</v>
      </c>
      <c r="C75" s="10" t="s">
        <v>271</v>
      </c>
      <c r="D75" s="9">
        <v>66987244</v>
      </c>
      <c r="E75" s="9">
        <v>547030</v>
      </c>
      <c r="F75" s="6" t="s">
        <v>104</v>
      </c>
      <c r="G75" s="6" cm="1">
        <f t="array" ref="G7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5" s="6" t="str">
        <f>IF(COUNTIFS(TripTable[Country],CountryTable[[#This Row],[Common Name]])=0,"",TEXT(_xlfn.MINIFS(TripTable[Date],TripTable[Country],CountryTable[[#This Row],[Common Name]]),"MMM JJJJ"))</f>
        <v/>
      </c>
      <c r="I75" s="6" t="str">
        <f>IF(COUNTIFS(TripTable[Country],CountryTable[[#This Row],[Common Name]])=0,"",TEXT(_xlfn.MAXIFS(TripTable[Date],TripTable[Country],CountryTable[[#This Row],[Common Name]]),"MMM JJJJ"))</f>
        <v/>
      </c>
      <c r="J75" s="8" t="s">
        <v>197</v>
      </c>
      <c r="K75" s="6" t="e" vm="74">
        <f t="shared" si="2"/>
        <v>#VALUE!</v>
      </c>
    </row>
    <row r="76" spans="1:11" ht="39" customHeight="1" x14ac:dyDescent="0.2">
      <c r="A76" s="5" t="s">
        <v>601</v>
      </c>
      <c r="B76" s="6" t="s">
        <v>666</v>
      </c>
      <c r="C76" s="10" t="s">
        <v>667</v>
      </c>
      <c r="D76" s="9">
        <v>195506</v>
      </c>
      <c r="E76" s="9">
        <v>91000</v>
      </c>
      <c r="F76" s="6" t="s">
        <v>1040</v>
      </c>
      <c r="G76" s="6" cm="1">
        <f t="array" ref="G7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6" s="6" t="str">
        <f>IF(COUNTIFS(TripTable[Country],CountryTable[[#This Row],[Common Name]])=0,"",TEXT(_xlfn.MINIFS(TripTable[Date],TripTable[Country],CountryTable[[#This Row],[Common Name]]),"MMM JJJJ"))</f>
        <v/>
      </c>
      <c r="I76" s="6" t="str">
        <f>IF(COUNTIFS(TripTable[Country],CountryTable[[#This Row],[Common Name]])=0,"",TEXT(_xlfn.MAXIFS(TripTable[Date],TripTable[Country],CountryTable[[#This Row],[Common Name]]),"MMM JJJJ"))</f>
        <v/>
      </c>
      <c r="J76" s="8" t="s">
        <v>1222</v>
      </c>
      <c r="K76" s="6" t="e" vm="75">
        <f>_xlfn.IMAGE("https://thumb.wikimedia.org/wikipedia/commons/thumb/2/29/Flag_of_French_Guiana.svg/1280px-Flag_of_French_Guiana.svg.png", "Flag of " &amp; A76,0)</f>
        <v>#VALUE!</v>
      </c>
    </row>
    <row r="77" spans="1:11" ht="39" customHeight="1" x14ac:dyDescent="0.2">
      <c r="A77" s="5" t="s">
        <v>824</v>
      </c>
      <c r="B77" s="6" t="s">
        <v>841</v>
      </c>
      <c r="C77" s="10" t="s">
        <v>841</v>
      </c>
      <c r="D77" s="9">
        <v>277679</v>
      </c>
      <c r="E77" s="9">
        <v>4167</v>
      </c>
      <c r="F77" s="6" t="s">
        <v>1102</v>
      </c>
      <c r="G77" s="6" cm="1">
        <f t="array" ref="G7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7" s="6" t="str">
        <f>IF(COUNTIFS(TripTable[Country],CountryTable[[#This Row],[Common Name]])=0,"",TEXT(_xlfn.MINIFS(TripTable[Date],TripTable[Country],CountryTable[[#This Row],[Common Name]]),"MMM JJJJ"))</f>
        <v/>
      </c>
      <c r="I77" s="6" t="str">
        <f>IF(COUNTIFS(TripTable[Country],CountryTable[[#This Row],[Common Name]])=0,"",TEXT(_xlfn.MAXIFS(TripTable[Date],TripTable[Country],CountryTable[[#This Row],[Common Name]]),"MMM JJJJ"))</f>
        <v/>
      </c>
      <c r="J77" s="8" t="s">
        <v>1223</v>
      </c>
      <c r="K77" s="6" t="e" vm="76">
        <f t="shared" si="2"/>
        <v>#VALUE!</v>
      </c>
    </row>
    <row r="78" spans="1:11" ht="39" customHeight="1" x14ac:dyDescent="0.2">
      <c r="A78" s="5" t="s">
        <v>599</v>
      </c>
      <c r="B78" s="6" t="s">
        <v>663</v>
      </c>
      <c r="C78" s="10" t="s">
        <v>664</v>
      </c>
      <c r="D78" s="9">
        <v>2119275</v>
      </c>
      <c r="E78" s="9">
        <v>267667</v>
      </c>
      <c r="F78" s="6" t="s">
        <v>1038</v>
      </c>
      <c r="G78" s="6" cm="1">
        <f t="array" ref="G7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8" s="6" t="str">
        <f>IF(COUNTIFS(TripTable[Country],CountryTable[[#This Row],[Common Name]])=0,"",TEXT(_xlfn.MINIFS(TripTable[Date],TripTable[Country],CountryTable[[#This Row],[Common Name]]),"MMM JJJJ"))</f>
        <v/>
      </c>
      <c r="I78" s="6" t="str">
        <f>IF(COUNTIFS(TripTable[Country],CountryTable[[#This Row],[Common Name]])=0,"",TEXT(_xlfn.MAXIFS(TripTable[Date],TripTable[Country],CountryTable[[#This Row],[Common Name]]),"MMM JJJJ"))</f>
        <v/>
      </c>
      <c r="J78" s="8" t="s">
        <v>1224</v>
      </c>
      <c r="K78" s="6" t="e" vm="77">
        <f t="shared" si="2"/>
        <v>#VALUE!</v>
      </c>
    </row>
    <row r="79" spans="1:11" ht="39" customHeight="1" x14ac:dyDescent="0.2">
      <c r="A79" s="5" t="s">
        <v>605</v>
      </c>
      <c r="B79" s="6" t="s">
        <v>673</v>
      </c>
      <c r="C79" s="10" t="s">
        <v>674</v>
      </c>
      <c r="D79" s="9">
        <v>2280102</v>
      </c>
      <c r="E79" s="9">
        <v>11300</v>
      </c>
      <c r="F79" s="6" t="s">
        <v>1044</v>
      </c>
      <c r="G79" s="6" cm="1">
        <f t="array" ref="G7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9" s="6" t="str">
        <f>IF(COUNTIFS(TripTable[Country],CountryTable[[#This Row],[Common Name]])=0,"",TEXT(_xlfn.MINIFS(TripTable[Date],TripTable[Country],CountryTable[[#This Row],[Common Name]]),"MMM JJJJ"))</f>
        <v/>
      </c>
      <c r="I79" s="6" t="str">
        <f>IF(COUNTIFS(TripTable[Country],CountryTable[[#This Row],[Common Name]])=0,"",TEXT(_xlfn.MAXIFS(TripTable[Date],TripTable[Country],CountryTable[[#This Row],[Common Name]]),"MMM JJJJ"))</f>
        <v/>
      </c>
      <c r="J79" s="8" t="s">
        <v>1225</v>
      </c>
      <c r="K79" s="6" t="e" vm="78">
        <f t="shared" si="2"/>
        <v>#VALUE!</v>
      </c>
    </row>
    <row r="80" spans="1:11" ht="39" customHeight="1" x14ac:dyDescent="0.2">
      <c r="A80" s="5" t="s">
        <v>105</v>
      </c>
      <c r="B80" s="6" t="s">
        <v>13</v>
      </c>
      <c r="C80" s="10" t="s">
        <v>13</v>
      </c>
      <c r="D80" s="9">
        <v>3704500</v>
      </c>
      <c r="E80" s="9">
        <v>69700</v>
      </c>
      <c r="F80" s="6" t="s">
        <v>106</v>
      </c>
      <c r="G80" s="6" cm="1">
        <f t="array" ref="G8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0" s="6" t="str">
        <f>IF(COUNTIFS(TripTable[Country],CountryTable[[#This Row],[Common Name]])=0,"",TEXT(_xlfn.MINIFS(TripTable[Date],TripTable[Country],CountryTable[[#This Row],[Common Name]]),"MMM JJJJ"))</f>
        <v/>
      </c>
      <c r="I80" s="6" t="str">
        <f>IF(COUNTIFS(TripTable[Country],CountryTable[[#This Row],[Common Name]])=0,"",TEXT(_xlfn.MAXIFS(TripTable[Date],TripTable[Country],CountryTable[[#This Row],[Common Name]]),"MMM JJJJ"))</f>
        <v/>
      </c>
      <c r="J80" s="8" t="s">
        <v>1226</v>
      </c>
      <c r="K80" s="6" t="e" vm="79">
        <f t="shared" si="2"/>
        <v>#VALUE!</v>
      </c>
    </row>
    <row r="81" spans="1:11" ht="39" customHeight="1" x14ac:dyDescent="0.2">
      <c r="A81" s="5" t="s">
        <v>107</v>
      </c>
      <c r="B81" s="6" t="s">
        <v>14</v>
      </c>
      <c r="C81" s="10" t="s">
        <v>272</v>
      </c>
      <c r="D81" s="9">
        <v>82927922</v>
      </c>
      <c r="E81" s="9">
        <v>357021</v>
      </c>
      <c r="F81" s="6" t="s">
        <v>164</v>
      </c>
      <c r="G81" s="6" cm="1">
        <f t="array" ref="G8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1" s="6" t="str">
        <f>IF(COUNTIFS(TripTable[Country],CountryTable[[#This Row],[Common Name]])=0,"",TEXT(_xlfn.MINIFS(TripTable[Date],TripTable[Country],CountryTable[[#This Row],[Common Name]]),"MMM JJJJ"))</f>
        <v/>
      </c>
      <c r="I81" s="6" t="str">
        <f>IF(COUNTIFS(TripTable[Country],CountryTable[[#This Row],[Common Name]])=0,"",TEXT(_xlfn.MAXIFS(TripTable[Date],TripTable[Country],CountryTable[[#This Row],[Common Name]]),"MMM JJJJ"))</f>
        <v/>
      </c>
      <c r="J81" s="8" t="s">
        <v>198</v>
      </c>
      <c r="K81" s="6" t="e" vm="80">
        <f t="shared" si="2"/>
        <v>#VALUE!</v>
      </c>
    </row>
    <row r="82" spans="1:11" ht="39" customHeight="1" x14ac:dyDescent="0.2">
      <c r="A82" s="5" t="s">
        <v>603</v>
      </c>
      <c r="B82" s="6" t="s">
        <v>670</v>
      </c>
      <c r="C82" s="10" t="s">
        <v>671</v>
      </c>
      <c r="D82" s="9">
        <v>29767108</v>
      </c>
      <c r="E82" s="9">
        <v>239460</v>
      </c>
      <c r="F82" s="6" t="s">
        <v>1042</v>
      </c>
      <c r="G82" s="6" cm="1">
        <f t="array" ref="G8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2" s="6" t="str">
        <f>IF(COUNTIFS(TripTable[Country],CountryTable[[#This Row],[Common Name]])=0,"",TEXT(_xlfn.MINIFS(TripTable[Date],TripTable[Country],CountryTable[[#This Row],[Common Name]]),"MMM JJJJ"))</f>
        <v/>
      </c>
      <c r="I82" s="6" t="str">
        <f>IF(COUNTIFS(TripTable[Country],CountryTable[[#This Row],[Common Name]])=0,"",TEXT(_xlfn.MAXIFS(TripTable[Date],TripTable[Country],CountryTable[[#This Row],[Common Name]]),"MMM JJJJ"))</f>
        <v/>
      </c>
      <c r="J82" s="8" t="s">
        <v>1227</v>
      </c>
      <c r="K82" s="6" t="e" vm="81">
        <f t="shared" si="2"/>
        <v>#VALUE!</v>
      </c>
    </row>
    <row r="83" spans="1:11" ht="39" customHeight="1" x14ac:dyDescent="0.2">
      <c r="A83" s="5" t="s">
        <v>188</v>
      </c>
      <c r="B83" s="7" t="s">
        <v>61</v>
      </c>
      <c r="C83" s="10" t="s">
        <v>61</v>
      </c>
      <c r="D83" s="9">
        <v>33718</v>
      </c>
      <c r="E83" s="9">
        <v>6.5</v>
      </c>
      <c r="F83" s="6" t="s">
        <v>61</v>
      </c>
      <c r="G83" s="6" cm="1">
        <f t="array" ref="G8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3" s="6" t="str">
        <f>IF(COUNTIFS(TripTable[Country],CountryTable[[#This Row],[Common Name]])=0,"",TEXT(_xlfn.MINIFS(TripTable[Date],TripTable[Country],CountryTable[[#This Row],[Common Name]]),"MMM JJJJ"))</f>
        <v/>
      </c>
      <c r="I83" s="6" t="str">
        <f>IF(COUNTIFS(TripTable[Country],CountryTable[[#This Row],[Common Name]])=0,"",TEXT(_xlfn.MAXIFS(TripTable[Date],TripTable[Country],CountryTable[[#This Row],[Common Name]]),"MMM JJJJ"))</f>
        <v/>
      </c>
      <c r="J83" s="8" t="s">
        <v>199</v>
      </c>
      <c r="K83" s="6" t="e" vm="82">
        <f t="shared" si="2"/>
        <v>#VALUE!</v>
      </c>
    </row>
    <row r="84" spans="1:11" ht="39" customHeight="1" x14ac:dyDescent="0.2">
      <c r="A84" s="5" t="s">
        <v>161</v>
      </c>
      <c r="B84" s="6" t="s">
        <v>15</v>
      </c>
      <c r="C84" s="10" t="s">
        <v>273</v>
      </c>
      <c r="D84" s="9">
        <v>10727668</v>
      </c>
      <c r="E84" s="9">
        <v>131940</v>
      </c>
      <c r="F84" s="6" t="s">
        <v>70</v>
      </c>
      <c r="G84" s="6" cm="1">
        <f t="array" ref="G8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4" s="6" t="str">
        <f>IF(COUNTIFS(TripTable[Country],CountryTable[[#This Row],[Common Name]])=0,"",TEXT(_xlfn.MINIFS(TripTable[Date],TripTable[Country],CountryTable[[#This Row],[Common Name]]),"MMM JJJJ"))</f>
        <v/>
      </c>
      <c r="I84" s="6" t="str">
        <f>IF(COUNTIFS(TripTable[Country],CountryTable[[#This Row],[Common Name]])=0,"",TEXT(_xlfn.MAXIFS(TripTable[Date],TripTable[Country],CountryTable[[#This Row],[Common Name]]),"MMM JJJJ"))</f>
        <v/>
      </c>
      <c r="J84" s="8" t="s">
        <v>200</v>
      </c>
      <c r="K84" s="6" t="e" vm="83">
        <f t="shared" si="2"/>
        <v>#VALUE!</v>
      </c>
    </row>
    <row r="85" spans="1:11" ht="39" customHeight="1" x14ac:dyDescent="0.2">
      <c r="A85" s="5" t="s">
        <v>604</v>
      </c>
      <c r="B85" s="6" t="s">
        <v>672</v>
      </c>
      <c r="C85" s="10" t="s">
        <v>672</v>
      </c>
      <c r="D85" s="9">
        <v>56025</v>
      </c>
      <c r="E85" s="9">
        <v>2166086</v>
      </c>
      <c r="F85" s="6" t="s">
        <v>1043</v>
      </c>
      <c r="G85" s="6" cm="1">
        <f t="array" ref="G8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5" s="6" t="str">
        <f>IF(COUNTIFS(TripTable[Country],CountryTable[[#This Row],[Common Name]])=0,"",TEXT(_xlfn.MINIFS(TripTable[Date],TripTable[Country],CountryTable[[#This Row],[Common Name]]),"MMM JJJJ"))</f>
        <v/>
      </c>
      <c r="I85" s="6" t="str">
        <f>IF(COUNTIFS(TripTable[Country],CountryTable[[#This Row],[Common Name]])=0,"",TEXT(_xlfn.MAXIFS(TripTable[Date],TripTable[Country],CountryTable[[#This Row],[Common Name]]),"MMM JJJJ"))</f>
        <v/>
      </c>
      <c r="J85" s="8" t="s">
        <v>1228</v>
      </c>
      <c r="K85" s="6" t="e" vm="84">
        <f t="shared" si="2"/>
        <v>#VALUE!</v>
      </c>
    </row>
    <row r="86" spans="1:11" ht="39" customHeight="1" x14ac:dyDescent="0.2">
      <c r="A86" s="5" t="s">
        <v>600</v>
      </c>
      <c r="B86" s="6" t="s">
        <v>665</v>
      </c>
      <c r="C86" s="10" t="s">
        <v>665</v>
      </c>
      <c r="D86" s="9">
        <v>111454</v>
      </c>
      <c r="E86" s="9">
        <v>344</v>
      </c>
      <c r="F86" s="6" t="s">
        <v>1039</v>
      </c>
      <c r="G86" s="6" cm="1">
        <f t="array" ref="G8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6" s="6" t="str">
        <f>IF(COUNTIFS(TripTable[Country],CountryTable[[#This Row],[Common Name]])=0,"",TEXT(_xlfn.MINIFS(TripTable[Date],TripTable[Country],CountryTable[[#This Row],[Common Name]]),"MMM JJJJ"))</f>
        <v/>
      </c>
      <c r="I86" s="6" t="str">
        <f>IF(COUNTIFS(TripTable[Country],CountryTable[[#This Row],[Common Name]])=0,"",TEXT(_xlfn.MAXIFS(TripTable[Date],TripTable[Country],CountryTable[[#This Row],[Common Name]]),"MMM JJJJ"))</f>
        <v/>
      </c>
      <c r="J86" s="8" t="s">
        <v>1229</v>
      </c>
      <c r="K86" s="6" t="e" vm="85">
        <f t="shared" si="2"/>
        <v>#VALUE!</v>
      </c>
    </row>
    <row r="87" spans="1:11" ht="39" customHeight="1" x14ac:dyDescent="0.2">
      <c r="A87" s="5" t="s">
        <v>607</v>
      </c>
      <c r="B87" s="6" t="s">
        <v>677</v>
      </c>
      <c r="C87" s="10" t="s">
        <v>677</v>
      </c>
      <c r="D87" s="9">
        <v>443000</v>
      </c>
      <c r="E87" s="9">
        <v>1780</v>
      </c>
      <c r="F87" s="6" t="s">
        <v>1046</v>
      </c>
      <c r="G87" s="6" cm="1">
        <f t="array" ref="G8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7" s="6" t="str">
        <f>IF(COUNTIFS(TripTable[Country],CountryTable[[#This Row],[Common Name]])=0,"",TEXT(_xlfn.MINIFS(TripTable[Date],TripTable[Country],CountryTable[[#This Row],[Common Name]]),"MMM JJJJ"))</f>
        <v/>
      </c>
      <c r="I87" s="6" t="str">
        <f>IF(COUNTIFS(TripTable[Country],CountryTable[[#This Row],[Common Name]])=0,"",TEXT(_xlfn.MAXIFS(TripTable[Date],TripTable[Country],CountryTable[[#This Row],[Common Name]]),"MMM JJJJ"))</f>
        <v/>
      </c>
      <c r="J87" s="8" t="s">
        <v>1230</v>
      </c>
      <c r="K87" s="6" t="e" vm="86">
        <f>_xlfn.IMAGE("https://thumb.wikimedia.org/wikipedia/commons/thumb/c/c3/Flag_of_France.svg/1280px-Flag_of_France.svg.png", "Flag of " &amp; A87,0)</f>
        <v>#VALUE!</v>
      </c>
    </row>
    <row r="88" spans="1:11" ht="39" customHeight="1" x14ac:dyDescent="0.2">
      <c r="A88" s="5" t="s">
        <v>610</v>
      </c>
      <c r="B88" s="6" t="s">
        <v>682</v>
      </c>
      <c r="C88" s="10" t="s">
        <v>682</v>
      </c>
      <c r="D88" s="9">
        <v>165768</v>
      </c>
      <c r="E88" s="9">
        <v>549</v>
      </c>
      <c r="F88" s="6" t="s">
        <v>1049</v>
      </c>
      <c r="G88" s="6" cm="1">
        <f t="array" ref="G8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8" s="6" t="str">
        <f>IF(COUNTIFS(TripTable[Country],CountryTable[[#This Row],[Common Name]])=0,"",TEXT(_xlfn.MINIFS(TripTable[Date],TripTable[Country],CountryTable[[#This Row],[Common Name]]),"MMM JJJJ"))</f>
        <v/>
      </c>
      <c r="I88" s="6" t="str">
        <f>IF(COUNTIFS(TripTable[Country],CountryTable[[#This Row],[Common Name]])=0,"",TEXT(_xlfn.MAXIFS(TripTable[Date],TripTable[Country],CountryTable[[#This Row],[Common Name]]),"MMM JJJJ"))</f>
        <v/>
      </c>
      <c r="J88" s="8" t="s">
        <v>1231</v>
      </c>
      <c r="K88" s="6" t="e" vm="87">
        <f t="shared" si="2"/>
        <v>#VALUE!</v>
      </c>
    </row>
    <row r="89" spans="1:11" ht="39" customHeight="1" x14ac:dyDescent="0.2">
      <c r="A89" s="5" t="s">
        <v>609</v>
      </c>
      <c r="B89" s="6" t="s">
        <v>680</v>
      </c>
      <c r="C89" s="10" t="s">
        <v>681</v>
      </c>
      <c r="D89" s="9">
        <v>17247807</v>
      </c>
      <c r="E89" s="9">
        <v>108890</v>
      </c>
      <c r="F89" s="6" t="s">
        <v>1048</v>
      </c>
      <c r="G89" s="6" cm="1">
        <f t="array" ref="G8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9" s="6" t="str">
        <f>IF(COUNTIFS(TripTable[Country],CountryTable[[#This Row],[Common Name]])=0,"",TEXT(_xlfn.MINIFS(TripTable[Date],TripTable[Country],CountryTable[[#This Row],[Common Name]]),"MMM JJJJ"))</f>
        <v/>
      </c>
      <c r="I89" s="6" t="str">
        <f>IF(COUNTIFS(TripTable[Country],CountryTable[[#This Row],[Common Name]])=0,"",TEXT(_xlfn.MAXIFS(TripTable[Date],TripTable[Country],CountryTable[[#This Row],[Common Name]]),"MMM JJJJ"))</f>
        <v/>
      </c>
      <c r="J89" s="8" t="s">
        <v>1232</v>
      </c>
      <c r="K89" s="6" t="e" vm="88">
        <f t="shared" si="2"/>
        <v>#VALUE!</v>
      </c>
    </row>
    <row r="90" spans="1:11" ht="39" customHeight="1" x14ac:dyDescent="0.2">
      <c r="A90" s="5" t="s">
        <v>602</v>
      </c>
      <c r="B90" s="6" t="s">
        <v>668</v>
      </c>
      <c r="C90" s="10" t="s">
        <v>669</v>
      </c>
      <c r="D90" s="9">
        <v>65228</v>
      </c>
      <c r="E90" s="9">
        <v>78</v>
      </c>
      <c r="F90" s="6" t="s">
        <v>1041</v>
      </c>
      <c r="G90" s="6" cm="1">
        <f t="array" ref="G9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0" s="6" t="str">
        <f>IF(COUNTIFS(TripTable[Country],CountryTable[[#This Row],[Common Name]])=0,"",TEXT(_xlfn.MINIFS(TripTable[Date],TripTable[Country],CountryTable[[#This Row],[Common Name]]),"MMM JJJJ"))</f>
        <v/>
      </c>
      <c r="I90" s="6" t="str">
        <f>IF(COUNTIFS(TripTable[Country],CountryTable[[#This Row],[Common Name]])=0,"",TEXT(_xlfn.MAXIFS(TripTable[Date],TripTable[Country],CountryTable[[#This Row],[Common Name]]),"MMM JJJJ"))</f>
        <v/>
      </c>
      <c r="J90" s="8" t="s">
        <v>1233</v>
      </c>
      <c r="K90" s="6" t="e" vm="89">
        <f t="shared" si="2"/>
        <v>#VALUE!</v>
      </c>
    </row>
    <row r="91" spans="1:11" ht="39" customHeight="1" x14ac:dyDescent="0.2">
      <c r="A91" s="5" t="s">
        <v>606</v>
      </c>
      <c r="B91" s="6" t="s">
        <v>675</v>
      </c>
      <c r="C91" s="10" t="s">
        <v>676</v>
      </c>
      <c r="D91" s="9">
        <v>12414318</v>
      </c>
      <c r="E91" s="9">
        <v>245857</v>
      </c>
      <c r="F91" s="6" t="s">
        <v>1045</v>
      </c>
      <c r="G91" s="6" cm="1">
        <f t="array" ref="G9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1" s="6" t="str">
        <f>IF(COUNTIFS(TripTable[Country],CountryTable[[#This Row],[Common Name]])=0,"",TEXT(_xlfn.MINIFS(TripTable[Date],TripTable[Country],CountryTable[[#This Row],[Common Name]]),"MMM JJJJ"))</f>
        <v/>
      </c>
      <c r="I91" s="6" t="str">
        <f>IF(COUNTIFS(TripTable[Country],CountryTable[[#This Row],[Common Name]])=0,"",TEXT(_xlfn.MAXIFS(TripTable[Date],TripTable[Country],CountryTable[[#This Row],[Common Name]]),"MMM JJJJ"))</f>
        <v/>
      </c>
      <c r="J91" s="8" t="s">
        <v>1234</v>
      </c>
      <c r="K91" s="6" t="e" vm="90">
        <f t="shared" si="2"/>
        <v>#VALUE!</v>
      </c>
    </row>
    <row r="92" spans="1:11" ht="39" customHeight="1" x14ac:dyDescent="0.2">
      <c r="A92" s="5" t="s">
        <v>612</v>
      </c>
      <c r="B92" s="6" t="s">
        <v>684</v>
      </c>
      <c r="C92" s="10" t="s">
        <v>685</v>
      </c>
      <c r="D92" s="9">
        <v>1874309</v>
      </c>
      <c r="E92" s="9">
        <v>36120</v>
      </c>
      <c r="F92" s="6" t="s">
        <v>1050</v>
      </c>
      <c r="G92" s="6" cm="1">
        <f t="array" ref="G9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2" s="6" t="str">
        <f>IF(COUNTIFS(TripTable[Country],CountryTable[[#This Row],[Common Name]])=0,"",TEXT(_xlfn.MINIFS(TripTable[Date],TripTable[Country],CountryTable[[#This Row],[Common Name]]),"MMM JJJJ"))</f>
        <v/>
      </c>
      <c r="I92" s="6" t="str">
        <f>IF(COUNTIFS(TripTable[Country],CountryTable[[#This Row],[Common Name]])=0,"",TEXT(_xlfn.MAXIFS(TripTable[Date],TripTable[Country],CountryTable[[#This Row],[Common Name]]),"MMM JJJJ"))</f>
        <v/>
      </c>
      <c r="J92" s="8" t="s">
        <v>1235</v>
      </c>
      <c r="K92" s="6" t="e" vm="91">
        <f t="shared" si="2"/>
        <v>#VALUE!</v>
      </c>
    </row>
    <row r="93" spans="1:11" ht="39" customHeight="1" x14ac:dyDescent="0.2">
      <c r="A93" s="5" t="s">
        <v>613</v>
      </c>
      <c r="B93" s="6" t="s">
        <v>686</v>
      </c>
      <c r="C93" s="10" t="s">
        <v>687</v>
      </c>
      <c r="D93" s="9">
        <v>779004</v>
      </c>
      <c r="E93" s="9">
        <v>214970</v>
      </c>
      <c r="F93" s="6" t="s">
        <v>78</v>
      </c>
      <c r="G93" s="6" cm="1">
        <f t="array" ref="G9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3" s="6" t="str">
        <f>IF(COUNTIFS(TripTable[Country],CountryTable[[#This Row],[Common Name]])=0,"",TEXT(_xlfn.MINIFS(TripTable[Date],TripTable[Country],CountryTable[[#This Row],[Common Name]]),"MMM JJJJ"))</f>
        <v/>
      </c>
      <c r="I93" s="6" t="str">
        <f>IF(COUNTIFS(TripTable[Country],CountryTable[[#This Row],[Common Name]])=0,"",TEXT(_xlfn.MAXIFS(TripTable[Date],TripTable[Country],CountryTable[[#This Row],[Common Name]]),"MMM JJJJ"))</f>
        <v/>
      </c>
      <c r="J93" s="8" t="s">
        <v>1236</v>
      </c>
      <c r="K93" s="6" t="e" vm="92">
        <f t="shared" si="2"/>
        <v>#VALUE!</v>
      </c>
    </row>
    <row r="94" spans="1:11" ht="39" customHeight="1" x14ac:dyDescent="0.2">
      <c r="A94" s="5" t="s">
        <v>615</v>
      </c>
      <c r="B94" s="6" t="s">
        <v>690</v>
      </c>
      <c r="C94" s="10" t="s">
        <v>691</v>
      </c>
      <c r="D94" s="9">
        <v>11123176</v>
      </c>
      <c r="E94" s="9">
        <v>27750</v>
      </c>
      <c r="F94" s="6" t="s">
        <v>1052</v>
      </c>
      <c r="G94" s="6" cm="1">
        <f t="array" ref="G9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4" s="6" t="str">
        <f>IF(COUNTIFS(TripTable[Country],CountryTable[[#This Row],[Common Name]])=0,"",TEXT(_xlfn.MINIFS(TripTable[Date],TripTable[Country],CountryTable[[#This Row],[Common Name]]),"MMM JJJJ"))</f>
        <v/>
      </c>
      <c r="I94" s="6" t="str">
        <f>IF(COUNTIFS(TripTable[Country],CountryTable[[#This Row],[Common Name]])=0,"",TEXT(_xlfn.MAXIFS(TripTable[Date],TripTable[Country],CountryTable[[#This Row],[Common Name]]),"MMM JJJJ"))</f>
        <v/>
      </c>
      <c r="J94" s="8" t="s">
        <v>1237</v>
      </c>
      <c r="K94" s="6" t="e" vm="93">
        <f t="shared" si="2"/>
        <v>#VALUE!</v>
      </c>
    </row>
    <row r="95" spans="1:11" ht="39" customHeight="1" x14ac:dyDescent="0.2">
      <c r="A95" s="5" t="s">
        <v>614</v>
      </c>
      <c r="B95" s="6" t="s">
        <v>688</v>
      </c>
      <c r="C95" s="10" t="s">
        <v>689</v>
      </c>
      <c r="D95" s="9">
        <v>9587522</v>
      </c>
      <c r="E95" s="9">
        <v>112090</v>
      </c>
      <c r="F95" s="6" t="s">
        <v>1051</v>
      </c>
      <c r="G95" s="6" cm="1">
        <f t="array" ref="G9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5" s="6" t="str">
        <f>IF(COUNTIFS(TripTable[Country],CountryTable[[#This Row],[Common Name]])=0,"",TEXT(_xlfn.MINIFS(TripTable[Date],TripTable[Country],CountryTable[[#This Row],[Common Name]]),"MMM JJJJ"))</f>
        <v/>
      </c>
      <c r="I95" s="6" t="str">
        <f>IF(COUNTIFS(TripTable[Country],CountryTable[[#This Row],[Common Name]])=0,"",TEXT(_xlfn.MAXIFS(TripTable[Date],TripTable[Country],CountryTable[[#This Row],[Common Name]]),"MMM JJJJ"))</f>
        <v/>
      </c>
      <c r="J95" s="8" t="s">
        <v>1238</v>
      </c>
      <c r="K95" s="6" t="e" vm="94">
        <f t="shared" si="2"/>
        <v>#VALUE!</v>
      </c>
    </row>
    <row r="96" spans="1:11" ht="39" customHeight="1" x14ac:dyDescent="0.2">
      <c r="A96" s="5" t="s">
        <v>178</v>
      </c>
      <c r="B96" s="7" t="s">
        <v>244</v>
      </c>
      <c r="C96" s="10" t="s">
        <v>274</v>
      </c>
      <c r="D96" s="9">
        <v>7396076</v>
      </c>
      <c r="E96" s="9">
        <v>1092</v>
      </c>
      <c r="F96" s="6" t="s">
        <v>244</v>
      </c>
      <c r="G96" s="6" cm="1">
        <f t="array" ref="G9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6" s="6" t="str">
        <f>IF(COUNTIFS(TripTable[Country],CountryTable[[#This Row],[Common Name]])=0,"",TEXT(_xlfn.MINIFS(TripTable[Date],TripTable[Country],CountryTable[[#This Row],[Common Name]]),"MMM JJJJ"))</f>
        <v/>
      </c>
      <c r="I96" s="6" t="str">
        <f>IF(COUNTIFS(TripTable[Country],CountryTable[[#This Row],[Common Name]])=0,"",TEXT(_xlfn.MAXIFS(TripTable[Date],TripTable[Country],CountryTable[[#This Row],[Common Name]]),"MMM JJJJ"))</f>
        <v/>
      </c>
      <c r="J96" s="8" t="s">
        <v>243</v>
      </c>
      <c r="K96" s="6" t="e" vm="95">
        <f t="shared" si="2"/>
        <v>#VALUE!</v>
      </c>
    </row>
    <row r="97" spans="1:11" ht="39" customHeight="1" x14ac:dyDescent="0.2">
      <c r="A97" s="5" t="s">
        <v>109</v>
      </c>
      <c r="B97" s="6" t="s">
        <v>16</v>
      </c>
      <c r="C97" s="10" t="s">
        <v>16</v>
      </c>
      <c r="D97" s="9">
        <v>9768785</v>
      </c>
      <c r="E97" s="9">
        <v>93030</v>
      </c>
      <c r="F97" s="6" t="s">
        <v>74</v>
      </c>
      <c r="G97" s="6" cm="1">
        <f t="array" ref="G9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7" s="6" t="str">
        <f>IF(COUNTIFS(TripTable[Country],CountryTable[[#This Row],[Common Name]])=0,"",TEXT(_xlfn.MINIFS(TripTable[Date],TripTable[Country],CountryTable[[#This Row],[Common Name]]),"MMM JJJJ"))</f>
        <v/>
      </c>
      <c r="I97" s="6" t="str">
        <f>IF(COUNTIFS(TripTable[Country],CountryTable[[#This Row],[Common Name]])=0,"",TEXT(_xlfn.MAXIFS(TripTable[Date],TripTable[Country],CountryTable[[#This Row],[Common Name]]),"MMM JJJJ"))</f>
        <v/>
      </c>
      <c r="J97" s="8" t="s">
        <v>201</v>
      </c>
      <c r="K97" s="6" t="e" vm="96">
        <f t="shared" si="2"/>
        <v>#VALUE!</v>
      </c>
    </row>
    <row r="98" spans="1:11" ht="39" customHeight="1" x14ac:dyDescent="0.2">
      <c r="A98" s="5" t="s">
        <v>110</v>
      </c>
      <c r="B98" s="6" t="s">
        <v>17</v>
      </c>
      <c r="C98" s="10" t="s">
        <v>17</v>
      </c>
      <c r="D98" s="9">
        <v>353574</v>
      </c>
      <c r="E98" s="9">
        <v>103000</v>
      </c>
      <c r="F98" s="6" t="s">
        <v>62</v>
      </c>
      <c r="G98" s="6" cm="1">
        <f t="array" ref="G9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8" s="6" t="str">
        <f>IF(COUNTIFS(TripTable[Country],CountryTable[[#This Row],[Common Name]])=0,"",TEXT(_xlfn.MINIFS(TripTable[Date],TripTable[Country],CountryTable[[#This Row],[Common Name]]),"MMM JJJJ"))</f>
        <v/>
      </c>
      <c r="I98" s="6" t="str">
        <f>IF(COUNTIFS(TripTable[Country],CountryTable[[#This Row],[Common Name]])=0,"",TEXT(_xlfn.MAXIFS(TripTable[Date],TripTable[Country],CountryTable[[#This Row],[Common Name]]),"MMM JJJJ"))</f>
        <v/>
      </c>
      <c r="J98" s="8" t="s">
        <v>202</v>
      </c>
      <c r="K98" s="6" t="e" vm="97">
        <f t="shared" ref="K98:K129" si="3">_xlfn.IMAGE("https://flagsapi.com/" &amp; A98 &amp; "/flat/64.png", "Flag of " &amp; A98,0)</f>
        <v>#VALUE!</v>
      </c>
    </row>
    <row r="99" spans="1:11" ht="39" customHeight="1" x14ac:dyDescent="0.2">
      <c r="A99" s="5" t="s">
        <v>694</v>
      </c>
      <c r="B99" s="6" t="s">
        <v>711</v>
      </c>
      <c r="C99" s="10" t="s">
        <v>712</v>
      </c>
      <c r="D99" s="9">
        <v>1352617328</v>
      </c>
      <c r="E99" s="9">
        <v>3287590</v>
      </c>
      <c r="F99" s="6" t="s">
        <v>1054</v>
      </c>
      <c r="G99" s="6" cm="1">
        <f t="array" ref="G9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9" s="6" t="str">
        <f>IF(COUNTIFS(TripTable[Country],CountryTable[[#This Row],[Common Name]])=0,"",TEXT(_xlfn.MINIFS(TripTable[Date],TripTable[Country],CountryTable[[#This Row],[Common Name]]),"MMM JJJJ"))</f>
        <v/>
      </c>
      <c r="I99" s="6" t="str">
        <f>IF(COUNTIFS(TripTable[Country],CountryTable[[#This Row],[Common Name]])=0,"",TEXT(_xlfn.MAXIFS(TripTable[Date],TripTable[Country],CountryTable[[#This Row],[Common Name]]),"MMM JJJJ"))</f>
        <v/>
      </c>
      <c r="J99" s="8" t="s">
        <v>1239</v>
      </c>
      <c r="K99" s="6" t="e" vm="98">
        <f t="shared" si="3"/>
        <v>#VALUE!</v>
      </c>
    </row>
    <row r="100" spans="1:11" ht="39" customHeight="1" x14ac:dyDescent="0.2">
      <c r="A100" s="5" t="s">
        <v>111</v>
      </c>
      <c r="B100" s="6" t="s">
        <v>18</v>
      </c>
      <c r="C100" s="10" t="s">
        <v>275</v>
      </c>
      <c r="D100" s="9">
        <v>267663435</v>
      </c>
      <c r="E100" s="9">
        <v>1919440</v>
      </c>
      <c r="F100" s="6" t="s">
        <v>77</v>
      </c>
      <c r="G100" s="6" cm="1">
        <f t="array" ref="G10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0" s="6" t="str">
        <f>IF(COUNTIFS(TripTable[Country],CountryTable[[#This Row],[Common Name]])=0,"",TEXT(_xlfn.MINIFS(TripTable[Date],TripTable[Country],CountryTable[[#This Row],[Common Name]]),"MMM JJJJ"))</f>
        <v/>
      </c>
      <c r="I100" s="6" t="str">
        <f>IF(COUNTIFS(TripTable[Country],CountryTable[[#This Row],[Common Name]])=0,"",TEXT(_xlfn.MAXIFS(TripTable[Date],TripTable[Country],CountryTable[[#This Row],[Common Name]]),"MMM JJJJ"))</f>
        <v/>
      </c>
      <c r="J100" s="8" t="s">
        <v>203</v>
      </c>
      <c r="K100" s="6" t="e" vm="99">
        <f t="shared" si="3"/>
        <v>#VALUE!</v>
      </c>
    </row>
    <row r="101" spans="1:11" ht="39" customHeight="1" x14ac:dyDescent="0.2">
      <c r="A101" s="5" t="s">
        <v>696</v>
      </c>
      <c r="B101" s="6" t="s">
        <v>715</v>
      </c>
      <c r="C101" s="10" t="s">
        <v>716</v>
      </c>
      <c r="D101" s="9">
        <v>81800269</v>
      </c>
      <c r="E101" s="9">
        <v>1648000</v>
      </c>
      <c r="F101" s="6" t="s">
        <v>1056</v>
      </c>
      <c r="G101" s="6" cm="1">
        <f t="array" ref="G10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1" s="6" t="str">
        <f>IF(COUNTIFS(TripTable[Country],CountryTable[[#This Row],[Common Name]])=0,"",TEXT(_xlfn.MINIFS(TripTable[Date],TripTable[Country],CountryTable[[#This Row],[Common Name]]),"MMM JJJJ"))</f>
        <v/>
      </c>
      <c r="I101" s="6" t="str">
        <f>IF(COUNTIFS(TripTable[Country],CountryTable[[#This Row],[Common Name]])=0,"",TEXT(_xlfn.MAXIFS(TripTable[Date],TripTable[Country],CountryTable[[#This Row],[Common Name]]),"MMM JJJJ"))</f>
        <v/>
      </c>
      <c r="J101" s="8" t="s">
        <v>1240</v>
      </c>
      <c r="K101" s="6" t="e" vm="100">
        <f t="shared" si="3"/>
        <v>#VALUE!</v>
      </c>
    </row>
    <row r="102" spans="1:11" ht="39" customHeight="1" x14ac:dyDescent="0.2">
      <c r="A102" s="5" t="s">
        <v>695</v>
      </c>
      <c r="B102" s="6" t="s">
        <v>713</v>
      </c>
      <c r="C102" s="10" t="s">
        <v>714</v>
      </c>
      <c r="D102" s="9">
        <v>38433600</v>
      </c>
      <c r="E102" s="9">
        <v>437072</v>
      </c>
      <c r="F102" s="6" t="s">
        <v>1055</v>
      </c>
      <c r="G102" s="6" cm="1">
        <f t="array" ref="G10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2" s="6" t="str">
        <f>IF(COUNTIFS(TripTable[Country],CountryTable[[#This Row],[Common Name]])=0,"",TEXT(_xlfn.MINIFS(TripTable[Date],TripTable[Country],CountryTable[[#This Row],[Common Name]]),"MMM JJJJ"))</f>
        <v/>
      </c>
      <c r="I102" s="6" t="str">
        <f>IF(COUNTIFS(TripTable[Country],CountryTable[[#This Row],[Common Name]])=0,"",TEXT(_xlfn.MAXIFS(TripTable[Date],TripTable[Country],CountryTable[[#This Row],[Common Name]]),"MMM JJJJ"))</f>
        <v/>
      </c>
      <c r="J102" s="8" t="s">
        <v>1241</v>
      </c>
      <c r="K102" s="6" t="e" vm="101">
        <f t="shared" si="3"/>
        <v>#VALUE!</v>
      </c>
    </row>
    <row r="103" spans="1:11" ht="39" customHeight="1" x14ac:dyDescent="0.2">
      <c r="A103" s="5" t="s">
        <v>112</v>
      </c>
      <c r="B103" s="6" t="s">
        <v>19</v>
      </c>
      <c r="C103" s="10" t="s">
        <v>276</v>
      </c>
      <c r="D103" s="9">
        <v>4853506</v>
      </c>
      <c r="E103" s="9">
        <v>70280</v>
      </c>
      <c r="F103" s="6" t="s">
        <v>60</v>
      </c>
      <c r="G103" s="6" cm="1">
        <f t="array" ref="G10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3" s="6" t="str">
        <f>IF(COUNTIFS(TripTable[Country],CountryTable[[#This Row],[Common Name]])=0,"",TEXT(_xlfn.MINIFS(TripTable[Date],TripTable[Country],CountryTable[[#This Row],[Common Name]]),"MMM JJJJ"))</f>
        <v/>
      </c>
      <c r="I103" s="6" t="str">
        <f>IF(COUNTIFS(TripTable[Country],CountryTable[[#This Row],[Common Name]])=0,"",TEXT(_xlfn.MAXIFS(TripTable[Date],TripTable[Country],CountryTable[[#This Row],[Common Name]]),"MMM JJJJ"))</f>
        <v/>
      </c>
      <c r="J103" s="8" t="s">
        <v>204</v>
      </c>
      <c r="K103" s="6" t="e" vm="102">
        <f t="shared" si="3"/>
        <v>#VALUE!</v>
      </c>
    </row>
    <row r="104" spans="1:11" ht="39" customHeight="1" x14ac:dyDescent="0.2">
      <c r="A104" s="5" t="s">
        <v>693</v>
      </c>
      <c r="B104" s="6" t="s">
        <v>710</v>
      </c>
      <c r="C104" s="10" t="s">
        <v>710</v>
      </c>
      <c r="D104" s="9">
        <v>84077</v>
      </c>
      <c r="E104" s="9">
        <v>572</v>
      </c>
      <c r="F104" s="6" t="s">
        <v>1053</v>
      </c>
      <c r="G104" s="6" cm="1">
        <f t="array" ref="G10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4" s="6" t="str">
        <f>IF(COUNTIFS(TripTable[Country],CountryTable[[#This Row],[Common Name]])=0,"",TEXT(_xlfn.MINIFS(TripTable[Date],TripTable[Country],CountryTable[[#This Row],[Common Name]]),"MMM JJJJ"))</f>
        <v/>
      </c>
      <c r="I104" s="6" t="str">
        <f>IF(COUNTIFS(TripTable[Country],CountryTable[[#This Row],[Common Name]])=0,"",TEXT(_xlfn.MAXIFS(TripTable[Date],TripTable[Country],CountryTable[[#This Row],[Common Name]]),"MMM JJJJ"))</f>
        <v/>
      </c>
      <c r="J104" s="8" t="s">
        <v>1242</v>
      </c>
      <c r="K104" s="6" t="e" vm="103">
        <f t="shared" si="3"/>
        <v>#VALUE!</v>
      </c>
    </row>
    <row r="105" spans="1:11" ht="39" customHeight="1" x14ac:dyDescent="0.2">
      <c r="A105" s="5" t="s">
        <v>692</v>
      </c>
      <c r="B105" s="6" t="s">
        <v>708</v>
      </c>
      <c r="C105" s="10" t="s">
        <v>709</v>
      </c>
      <c r="D105" s="9">
        <v>8883800</v>
      </c>
      <c r="E105" s="9">
        <v>20770</v>
      </c>
      <c r="F105" s="7" t="s">
        <v>1156</v>
      </c>
      <c r="G105" s="6" cm="1">
        <f t="array" ref="G10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5" s="6" t="str">
        <f>IF(COUNTIFS(TripTable[Country],CountryTable[[#This Row],[Common Name]])=0,"",TEXT(_xlfn.MINIFS(TripTable[Date],TripTable[Country],CountryTable[[#This Row],[Common Name]]),"MMM JJJJ"))</f>
        <v/>
      </c>
      <c r="I105" s="6" t="str">
        <f>IF(COUNTIFS(TripTable[Country],CountryTable[[#This Row],[Common Name]])=0,"",TEXT(_xlfn.MAXIFS(TripTable[Date],TripTable[Country],CountryTable[[#This Row],[Common Name]]),"MMM JJJJ"))</f>
        <v/>
      </c>
      <c r="J105" s="8" t="s">
        <v>1243</v>
      </c>
      <c r="K105" s="6" t="e" vm="104">
        <f t="shared" si="3"/>
        <v>#VALUE!</v>
      </c>
    </row>
    <row r="106" spans="1:11" ht="39" customHeight="1" x14ac:dyDescent="0.2">
      <c r="A106" s="5" t="s">
        <v>113</v>
      </c>
      <c r="B106" s="6" t="s">
        <v>20</v>
      </c>
      <c r="C106" s="10" t="s">
        <v>277</v>
      </c>
      <c r="D106" s="9">
        <v>60431283</v>
      </c>
      <c r="E106" s="9">
        <v>301230</v>
      </c>
      <c r="F106" s="6" t="s">
        <v>253</v>
      </c>
      <c r="G106" s="6" cm="1">
        <f t="array" ref="G10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6" s="6" t="str">
        <f>IF(COUNTIFS(TripTable[Country],CountryTable[[#This Row],[Common Name]])=0,"",TEXT(_xlfn.MINIFS(TripTable[Date],TripTable[Country],CountryTable[[#This Row],[Common Name]]),"MMM JJJJ"))</f>
        <v/>
      </c>
      <c r="I106" s="6" t="str">
        <f>IF(COUNTIFS(TripTable[Country],CountryTable[[#This Row],[Common Name]])=0,"",TEXT(_xlfn.MAXIFS(TripTable[Date],TripTable[Country],CountryTable[[#This Row],[Common Name]]),"MMM JJJJ"))</f>
        <v/>
      </c>
      <c r="J106" s="8" t="s">
        <v>205</v>
      </c>
      <c r="K106" s="6" t="e" vm="105">
        <f t="shared" si="3"/>
        <v>#VALUE!</v>
      </c>
    </row>
    <row r="107" spans="1:11" ht="39" customHeight="1" x14ac:dyDescent="0.2">
      <c r="A107" s="5" t="s">
        <v>578</v>
      </c>
      <c r="B107" s="6" t="s">
        <v>623</v>
      </c>
      <c r="C107" s="10" t="s">
        <v>624</v>
      </c>
      <c r="D107" s="9">
        <v>25069229</v>
      </c>
      <c r="E107" s="9">
        <v>322460</v>
      </c>
      <c r="F107" s="6" t="s">
        <v>1017</v>
      </c>
      <c r="G107" s="6" cm="1">
        <f t="array" ref="G10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7" s="6" t="str">
        <f>IF(COUNTIFS(TripTable[Country],CountryTable[[#This Row],[Common Name]])=0,"",TEXT(_xlfn.MINIFS(TripTable[Date],TripTable[Country],CountryTable[[#This Row],[Common Name]]),"MMM JJJJ"))</f>
        <v/>
      </c>
      <c r="I107" s="6" t="str">
        <f>IF(COUNTIFS(TripTable[Country],CountryTable[[#This Row],[Common Name]])=0,"",TEXT(_xlfn.MAXIFS(TripTable[Date],TripTable[Country],CountryTable[[#This Row],[Common Name]]),"MMM JJJJ"))</f>
        <v/>
      </c>
      <c r="J107" s="8" t="s">
        <v>1244</v>
      </c>
      <c r="K107" s="6" t="e" vm="106">
        <f t="shared" si="3"/>
        <v>#VALUE!</v>
      </c>
    </row>
    <row r="108" spans="1:11" ht="39" customHeight="1" x14ac:dyDescent="0.2">
      <c r="A108" s="5" t="s">
        <v>698</v>
      </c>
      <c r="B108" s="6" t="s">
        <v>719</v>
      </c>
      <c r="C108" s="10" t="s">
        <v>719</v>
      </c>
      <c r="D108" s="9">
        <v>2934855</v>
      </c>
      <c r="E108" s="9">
        <v>10991</v>
      </c>
      <c r="F108" s="6" t="s">
        <v>1058</v>
      </c>
      <c r="G108" s="6" cm="1">
        <f t="array" ref="G10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8" s="6" t="str">
        <f>IF(COUNTIFS(TripTable[Country],CountryTable[[#This Row],[Common Name]])=0,"",TEXT(_xlfn.MINIFS(TripTable[Date],TripTable[Country],CountryTable[[#This Row],[Common Name]]),"MMM JJJJ"))</f>
        <v/>
      </c>
      <c r="I108" s="6" t="str">
        <f>IF(COUNTIFS(TripTable[Country],CountryTable[[#This Row],[Common Name]])=0,"",TEXT(_xlfn.MAXIFS(TripTable[Date],TripTable[Country],CountryTable[[#This Row],[Common Name]]),"MMM JJJJ"))</f>
        <v/>
      </c>
      <c r="J108" s="8" t="s">
        <v>1245</v>
      </c>
      <c r="K108" s="6" t="e" vm="107">
        <f t="shared" si="3"/>
        <v>#VALUE!</v>
      </c>
    </row>
    <row r="109" spans="1:11" ht="39" customHeight="1" x14ac:dyDescent="0.2">
      <c r="A109" s="5" t="s">
        <v>114</v>
      </c>
      <c r="B109" s="6" t="s">
        <v>21</v>
      </c>
      <c r="C109" s="10" t="s">
        <v>21</v>
      </c>
      <c r="D109" s="9">
        <v>126529100</v>
      </c>
      <c r="E109" s="9">
        <v>377835</v>
      </c>
      <c r="F109" s="6" t="s">
        <v>64</v>
      </c>
      <c r="G109" s="6" cm="1">
        <f t="array" ref="G10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9" s="6" t="str">
        <f>IF(COUNTIFS(TripTable[Country],CountryTable[[#This Row],[Common Name]])=0,"",TEXT(_xlfn.MINIFS(TripTable[Date],TripTable[Country],CountryTable[[#This Row],[Common Name]]),"MMM JJJJ"))</f>
        <v/>
      </c>
      <c r="I109" s="6" t="str">
        <f>IF(COUNTIFS(TripTable[Country],CountryTable[[#This Row],[Common Name]])=0,"",TEXT(_xlfn.MAXIFS(TripTable[Date],TripTable[Country],CountryTable[[#This Row],[Common Name]]),"MMM JJJJ"))</f>
        <v/>
      </c>
      <c r="J109" s="8" t="s">
        <v>206</v>
      </c>
      <c r="K109" s="6" t="e" vm="108">
        <f t="shared" si="3"/>
        <v>#VALUE!</v>
      </c>
    </row>
    <row r="110" spans="1:11" ht="39" customHeight="1" x14ac:dyDescent="0.2">
      <c r="A110" s="5" t="s">
        <v>697</v>
      </c>
      <c r="B110" s="6" t="s">
        <v>717</v>
      </c>
      <c r="C110" s="10" t="s">
        <v>718</v>
      </c>
      <c r="D110" s="9">
        <v>90812</v>
      </c>
      <c r="E110" s="9">
        <v>116</v>
      </c>
      <c r="F110" s="6" t="s">
        <v>1057</v>
      </c>
      <c r="G110" s="6" cm="1">
        <f t="array" ref="G11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0" s="6" t="str">
        <f>IF(COUNTIFS(TripTable[Country],CountryTable[[#This Row],[Common Name]])=0,"",TEXT(_xlfn.MINIFS(TripTable[Date],TripTable[Country],CountryTable[[#This Row],[Common Name]]),"MMM JJJJ"))</f>
        <v/>
      </c>
      <c r="I110" s="6" t="str">
        <f>IF(COUNTIFS(TripTable[Country],CountryTable[[#This Row],[Common Name]])=0,"",TEXT(_xlfn.MAXIFS(TripTable[Date],TripTable[Country],CountryTable[[#This Row],[Common Name]]),"MMM JJJJ"))</f>
        <v/>
      </c>
      <c r="J110" s="8" t="s">
        <v>1246</v>
      </c>
      <c r="K110" s="6" t="e" vm="109">
        <f t="shared" si="3"/>
        <v>#VALUE!</v>
      </c>
    </row>
    <row r="111" spans="1:11" ht="39" customHeight="1" x14ac:dyDescent="0.2">
      <c r="A111" s="5" t="s">
        <v>699</v>
      </c>
      <c r="B111" s="6" t="s">
        <v>720</v>
      </c>
      <c r="C111" s="10" t="s">
        <v>721</v>
      </c>
      <c r="D111" s="9">
        <v>9956011</v>
      </c>
      <c r="E111" s="9">
        <v>92300</v>
      </c>
      <c r="F111" s="6" t="s">
        <v>1059</v>
      </c>
      <c r="G111" s="6" cm="1">
        <f t="array" ref="G11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1" s="6" t="str">
        <f>IF(COUNTIFS(TripTable[Country],CountryTable[[#This Row],[Common Name]])=0,"",TEXT(_xlfn.MINIFS(TripTable[Date],TripTable[Country],CountryTable[[#This Row],[Common Name]]),"MMM JJJJ"))</f>
        <v/>
      </c>
      <c r="I111" s="6" t="str">
        <f>IF(COUNTIFS(TripTable[Country],CountryTable[[#This Row],[Common Name]])=0,"",TEXT(_xlfn.MAXIFS(TripTable[Date],TripTable[Country],CountryTable[[#This Row],[Common Name]]),"MMM JJJJ"))</f>
        <v/>
      </c>
      <c r="J111" s="8" t="s">
        <v>1247</v>
      </c>
      <c r="K111" s="6" t="e" vm="110">
        <f t="shared" si="3"/>
        <v>#VALUE!</v>
      </c>
    </row>
    <row r="112" spans="1:11" ht="39" customHeight="1" x14ac:dyDescent="0.2">
      <c r="A112" s="5" t="s">
        <v>707</v>
      </c>
      <c r="B112" s="6" t="s">
        <v>737</v>
      </c>
      <c r="C112" s="10" t="s">
        <v>738</v>
      </c>
      <c r="D112" s="9">
        <v>18276499</v>
      </c>
      <c r="E112" s="9">
        <v>2717300</v>
      </c>
      <c r="F112" s="6" t="s">
        <v>1068</v>
      </c>
      <c r="G112" s="6" cm="1">
        <f t="array" ref="G11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2" s="6" t="str">
        <f>IF(COUNTIFS(TripTable[Country],CountryTable[[#This Row],[Common Name]])=0,"",TEXT(_xlfn.MINIFS(TripTable[Date],TripTable[Country],CountryTable[[#This Row],[Common Name]]),"MMM JJJJ"))</f>
        <v/>
      </c>
      <c r="I112" s="6" t="str">
        <f>IF(COUNTIFS(TripTable[Country],CountryTable[[#This Row],[Common Name]])=0,"",TEXT(_xlfn.MAXIFS(TripTable[Date],TripTable[Country],CountryTable[[#This Row],[Common Name]]),"MMM JJJJ"))</f>
        <v/>
      </c>
      <c r="J112" s="8" t="s">
        <v>1248</v>
      </c>
      <c r="K112" s="6" t="e" vm="111">
        <f t="shared" si="3"/>
        <v>#VALUE!</v>
      </c>
    </row>
    <row r="113" spans="1:11" ht="39" customHeight="1" x14ac:dyDescent="0.2">
      <c r="A113" s="5" t="s">
        <v>700</v>
      </c>
      <c r="B113" s="6" t="s">
        <v>722</v>
      </c>
      <c r="C113" s="10" t="s">
        <v>723</v>
      </c>
      <c r="D113" s="9">
        <v>51393010</v>
      </c>
      <c r="E113" s="9">
        <v>582650</v>
      </c>
      <c r="F113" s="6" t="s">
        <v>1060</v>
      </c>
      <c r="G113" s="6" cm="1">
        <f t="array" ref="G11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3" s="6" t="str">
        <f>IF(COUNTIFS(TripTable[Country],CountryTable[[#This Row],[Common Name]])=0,"",TEXT(_xlfn.MINIFS(TripTable[Date],TripTable[Country],CountryTable[[#This Row],[Common Name]]),"MMM JJJJ"))</f>
        <v/>
      </c>
      <c r="I113" s="6" t="str">
        <f>IF(COUNTIFS(TripTable[Country],CountryTable[[#This Row],[Common Name]])=0,"",TEXT(_xlfn.MAXIFS(TripTable[Date],TripTable[Country],CountryTable[[#This Row],[Common Name]]),"MMM JJJJ"))</f>
        <v/>
      </c>
      <c r="J113" s="8" t="s">
        <v>1249</v>
      </c>
      <c r="K113" s="6" t="e" vm="112">
        <f t="shared" si="3"/>
        <v>#VALUE!</v>
      </c>
    </row>
    <row r="114" spans="1:11" ht="39" customHeight="1" x14ac:dyDescent="0.2">
      <c r="A114" s="5" t="s">
        <v>702</v>
      </c>
      <c r="B114" s="6" t="s">
        <v>726</v>
      </c>
      <c r="C114" s="10" t="s">
        <v>727</v>
      </c>
      <c r="D114" s="9">
        <v>115847</v>
      </c>
      <c r="E114" s="9">
        <v>811</v>
      </c>
      <c r="F114" s="6" t="s">
        <v>1062</v>
      </c>
      <c r="G114" s="6" cm="1">
        <f t="array" ref="G11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4" s="6" t="str">
        <f>IF(COUNTIFS(TripTable[Country],CountryTable[[#This Row],[Common Name]])=0,"",TEXT(_xlfn.MINIFS(TripTable[Date],TripTable[Country],CountryTable[[#This Row],[Common Name]]),"MMM JJJJ"))</f>
        <v/>
      </c>
      <c r="I114" s="6" t="str">
        <f>IF(COUNTIFS(TripTable[Country],CountryTable[[#This Row],[Common Name]])=0,"",TEXT(_xlfn.MAXIFS(TripTable[Date],TripTable[Country],CountryTable[[#This Row],[Common Name]]),"MMM JJJJ"))</f>
        <v/>
      </c>
      <c r="J114" s="8" t="s">
        <v>1250</v>
      </c>
      <c r="K114" s="6" t="e" vm="113">
        <f t="shared" si="3"/>
        <v>#VALUE!</v>
      </c>
    </row>
    <row r="115" spans="1:11" ht="39" customHeight="1" x14ac:dyDescent="0.2">
      <c r="A115" s="5" t="s">
        <v>705</v>
      </c>
      <c r="B115" s="6" t="s">
        <v>734</v>
      </c>
      <c r="C115" s="10" t="s">
        <v>735</v>
      </c>
      <c r="D115" s="9">
        <v>4137309</v>
      </c>
      <c r="E115" s="9">
        <v>17820</v>
      </c>
      <c r="F115" s="6" t="s">
        <v>1066</v>
      </c>
      <c r="G115" s="6" cm="1">
        <f t="array" ref="G1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5" s="6" t="str">
        <f>IF(COUNTIFS(TripTable[Country],CountryTable[[#This Row],[Common Name]])=0,"",TEXT(_xlfn.MINIFS(TripTable[Date],TripTable[Country],CountryTable[[#This Row],[Common Name]]),"MMM JJJJ"))</f>
        <v/>
      </c>
      <c r="I115" s="6" t="str">
        <f>IF(COUNTIFS(TripTable[Country],CountryTable[[#This Row],[Common Name]])=0,"",TEXT(_xlfn.MAXIFS(TripTable[Date],TripTable[Country],CountryTable[[#This Row],[Common Name]]),"MMM JJJJ"))</f>
        <v/>
      </c>
      <c r="J115" s="8" t="s">
        <v>1251</v>
      </c>
      <c r="K115" s="6" t="e" vm="114">
        <f t="shared" si="3"/>
        <v>#VALUE!</v>
      </c>
    </row>
    <row r="116" spans="1:11" ht="39" customHeight="1" x14ac:dyDescent="0.2">
      <c r="A116" s="5" t="s">
        <v>701</v>
      </c>
      <c r="B116" s="6" t="s">
        <v>724</v>
      </c>
      <c r="C116" s="10" t="s">
        <v>725</v>
      </c>
      <c r="D116" s="9">
        <v>6315800</v>
      </c>
      <c r="E116" s="9">
        <v>198500</v>
      </c>
      <c r="F116" s="6" t="s">
        <v>1061</v>
      </c>
      <c r="G116" s="6" cm="1">
        <f t="array" ref="G11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6" s="6" t="str">
        <f>IF(COUNTIFS(TripTable[Country],CountryTable[[#This Row],[Common Name]])=0,"",TEXT(_xlfn.MINIFS(TripTable[Date],TripTable[Country],CountryTable[[#This Row],[Common Name]]),"MMM JJJJ"))</f>
        <v/>
      </c>
      <c r="I116" s="6" t="str">
        <f>IF(COUNTIFS(TripTable[Country],CountryTable[[#This Row],[Common Name]])=0,"",TEXT(_xlfn.MAXIFS(TripTable[Date],TripTable[Country],CountryTable[[#This Row],[Common Name]]),"MMM JJJJ"))</f>
        <v/>
      </c>
      <c r="J116" s="8" t="s">
        <v>1252</v>
      </c>
      <c r="K116" s="6" t="e" vm="115">
        <f t="shared" si="3"/>
        <v>#VALUE!</v>
      </c>
    </row>
    <row r="117" spans="1:11" ht="39" customHeight="1" x14ac:dyDescent="0.2">
      <c r="A117" s="5" t="s">
        <v>179</v>
      </c>
      <c r="B117" s="7" t="s">
        <v>22</v>
      </c>
      <c r="C117" s="10" t="s">
        <v>278</v>
      </c>
      <c r="D117" s="9">
        <v>7061507</v>
      </c>
      <c r="E117" s="9">
        <v>236800</v>
      </c>
      <c r="F117" s="7" t="s">
        <v>254</v>
      </c>
      <c r="G117" s="6" cm="1">
        <f t="array" ref="G11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7" s="6" t="str">
        <f>IF(COUNTIFS(TripTable[Country],CountryTable[[#This Row],[Common Name]])=0,"",TEXT(_xlfn.MINIFS(TripTable[Date],TripTable[Country],CountryTable[[#This Row],[Common Name]]),"MMM JJJJ"))</f>
        <v/>
      </c>
      <c r="I117" s="6" t="str">
        <f>IF(COUNTIFS(TripTable[Country],CountryTable[[#This Row],[Common Name]])=0,"",TEXT(_xlfn.MAXIFS(TripTable[Date],TripTable[Country],CountryTable[[#This Row],[Common Name]]),"MMM JJJJ"))</f>
        <v/>
      </c>
      <c r="J117" s="8" t="s">
        <v>207</v>
      </c>
      <c r="K117" s="6" t="e" vm="116">
        <f t="shared" si="3"/>
        <v>#VALUE!</v>
      </c>
    </row>
    <row r="118" spans="1:11" ht="39" customHeight="1" x14ac:dyDescent="0.2">
      <c r="A118" s="5" t="s">
        <v>745</v>
      </c>
      <c r="B118" s="6" t="s">
        <v>770</v>
      </c>
      <c r="C118" s="10" t="s">
        <v>771</v>
      </c>
      <c r="D118" s="9">
        <v>1926542</v>
      </c>
      <c r="E118" s="9">
        <v>64589</v>
      </c>
      <c r="F118" s="6" t="s">
        <v>1075</v>
      </c>
      <c r="G118" s="6" cm="1">
        <f t="array" ref="G11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8" s="6" t="str">
        <f>IF(COUNTIFS(TripTable[Country],CountryTable[[#This Row],[Common Name]])=0,"",TEXT(_xlfn.MINIFS(TripTable[Date],TripTable[Country],CountryTable[[#This Row],[Common Name]]),"MMM JJJJ"))</f>
        <v/>
      </c>
      <c r="I118" s="6" t="str">
        <f>IF(COUNTIFS(TripTable[Country],CountryTable[[#This Row],[Common Name]])=0,"",TEXT(_xlfn.MAXIFS(TripTable[Date],TripTable[Country],CountryTable[[#This Row],[Common Name]]),"MMM JJJJ"))</f>
        <v/>
      </c>
      <c r="J118" s="8" t="s">
        <v>1253</v>
      </c>
      <c r="K118" s="6" t="e" vm="117">
        <f t="shared" si="3"/>
        <v>#VALUE!</v>
      </c>
    </row>
    <row r="119" spans="1:11" ht="39" customHeight="1" x14ac:dyDescent="0.2">
      <c r="A119" s="5" t="s">
        <v>739</v>
      </c>
      <c r="B119" s="6" t="s">
        <v>759</v>
      </c>
      <c r="C119" s="10" t="s">
        <v>760</v>
      </c>
      <c r="D119" s="9">
        <v>6848925</v>
      </c>
      <c r="E119" s="9">
        <v>10400</v>
      </c>
      <c r="F119" s="6" t="s">
        <v>1069</v>
      </c>
      <c r="G119" s="6" cm="1">
        <f t="array" ref="G1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9" s="6" t="str">
        <f>IF(COUNTIFS(TripTable[Country],CountryTable[[#This Row],[Common Name]])=0,"",TEXT(_xlfn.MINIFS(TripTable[Date],TripTable[Country],CountryTable[[#This Row],[Common Name]]),"MMM JJJJ"))</f>
        <v/>
      </c>
      <c r="I119" s="6" t="str">
        <f>IF(COUNTIFS(TripTable[Country],CountryTable[[#This Row],[Common Name]])=0,"",TEXT(_xlfn.MAXIFS(TripTable[Date],TripTable[Country],CountryTable[[#This Row],[Common Name]]),"MMM JJJJ"))</f>
        <v/>
      </c>
      <c r="J119" s="8" t="s">
        <v>1254</v>
      </c>
      <c r="K119" s="6" t="e" vm="118">
        <f t="shared" si="3"/>
        <v>#VALUE!</v>
      </c>
    </row>
    <row r="120" spans="1:11" ht="39" customHeight="1" x14ac:dyDescent="0.2">
      <c r="A120" s="5" t="s">
        <v>743</v>
      </c>
      <c r="B120" s="6" t="s">
        <v>766</v>
      </c>
      <c r="C120" s="10" t="s">
        <v>767</v>
      </c>
      <c r="D120" s="9">
        <v>2108132</v>
      </c>
      <c r="E120" s="9">
        <v>30355</v>
      </c>
      <c r="F120" s="6" t="s">
        <v>1073</v>
      </c>
      <c r="G120" s="6" cm="1">
        <f t="array" ref="G12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0" s="6" t="str">
        <f>IF(COUNTIFS(TripTable[Country],CountryTable[[#This Row],[Common Name]])=0,"",TEXT(_xlfn.MINIFS(TripTable[Date],TripTable[Country],CountryTable[[#This Row],[Common Name]]),"MMM JJJJ"))</f>
        <v/>
      </c>
      <c r="I120" s="6" t="str">
        <f>IF(COUNTIFS(TripTable[Country],CountryTable[[#This Row],[Common Name]])=0,"",TEXT(_xlfn.MAXIFS(TripTable[Date],TripTable[Country],CountryTable[[#This Row],[Common Name]]),"MMM JJJJ"))</f>
        <v/>
      </c>
      <c r="J120" s="8" t="s">
        <v>1255</v>
      </c>
      <c r="K120" s="6" t="e" vm="119">
        <f t="shared" si="3"/>
        <v>#VALUE!</v>
      </c>
    </row>
    <row r="121" spans="1:11" ht="39" customHeight="1" x14ac:dyDescent="0.2">
      <c r="A121" s="5" t="s">
        <v>742</v>
      </c>
      <c r="B121" s="6" t="s">
        <v>764</v>
      </c>
      <c r="C121" s="10" t="s">
        <v>765</v>
      </c>
      <c r="D121" s="9">
        <v>4818977</v>
      </c>
      <c r="E121" s="9">
        <v>111370</v>
      </c>
      <c r="F121" s="6" t="s">
        <v>1072</v>
      </c>
      <c r="G121" s="6" cm="1">
        <f t="array" ref="G12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1" s="6" t="str">
        <f>IF(COUNTIFS(TripTable[Country],CountryTable[[#This Row],[Common Name]])=0,"",TEXT(_xlfn.MINIFS(TripTable[Date],TripTable[Country],CountryTable[[#This Row],[Common Name]]),"MMM JJJJ"))</f>
        <v/>
      </c>
      <c r="I121" s="6" t="str">
        <f>IF(COUNTIFS(TripTable[Country],CountryTable[[#This Row],[Common Name]])=0,"",TEXT(_xlfn.MAXIFS(TripTable[Date],TripTable[Country],CountryTable[[#This Row],[Common Name]]),"MMM JJJJ"))</f>
        <v/>
      </c>
      <c r="J121" s="8" t="s">
        <v>1256</v>
      </c>
      <c r="K121" s="6" t="e" vm="120">
        <f t="shared" si="3"/>
        <v>#VALUE!</v>
      </c>
    </row>
    <row r="122" spans="1:11" ht="39" customHeight="1" x14ac:dyDescent="0.2">
      <c r="A122" s="5" t="s">
        <v>746</v>
      </c>
      <c r="B122" s="6" t="s">
        <v>772</v>
      </c>
      <c r="C122" s="10" t="s">
        <v>773</v>
      </c>
      <c r="D122" s="9">
        <v>6678567</v>
      </c>
      <c r="E122" s="9">
        <v>1759540</v>
      </c>
      <c r="F122" s="6" t="s">
        <v>1076</v>
      </c>
      <c r="G122" s="6" cm="1">
        <f t="array" ref="G1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2" s="6" t="str">
        <f>IF(COUNTIFS(TripTable[Country],CountryTable[[#This Row],[Common Name]])=0,"",TEXT(_xlfn.MINIFS(TripTable[Date],TripTable[Country],CountryTable[[#This Row],[Common Name]]),"MMM JJJJ"))</f>
        <v/>
      </c>
      <c r="I122" s="6" t="str">
        <f>IF(COUNTIFS(TripTable[Country],CountryTable[[#This Row],[Common Name]])=0,"",TEXT(_xlfn.MAXIFS(TripTable[Date],TripTable[Country],CountryTable[[#This Row],[Common Name]]),"MMM JJJJ"))</f>
        <v/>
      </c>
      <c r="J122" s="8" t="s">
        <v>1257</v>
      </c>
      <c r="K122" s="6" t="e" vm="121">
        <f t="shared" si="3"/>
        <v>#VALUE!</v>
      </c>
    </row>
    <row r="123" spans="1:11" ht="39" customHeight="1" x14ac:dyDescent="0.2">
      <c r="A123" s="5" t="s">
        <v>180</v>
      </c>
      <c r="B123" s="6" t="s">
        <v>23</v>
      </c>
      <c r="C123" s="10" t="s">
        <v>279</v>
      </c>
      <c r="D123" s="9">
        <v>37910</v>
      </c>
      <c r="E123" s="9">
        <v>160</v>
      </c>
      <c r="F123" s="6" t="s">
        <v>66</v>
      </c>
      <c r="G123" s="6" cm="1">
        <f t="array" ref="G12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3" s="6" t="str">
        <f>IF(COUNTIFS(TripTable[Country],CountryTable[[#This Row],[Common Name]])=0,"",TEXT(_xlfn.MINIFS(TripTable[Date],TripTable[Country],CountryTable[[#This Row],[Common Name]]),"MMM JJJJ"))</f>
        <v/>
      </c>
      <c r="I123" s="6" t="str">
        <f>IF(COUNTIFS(TripTable[Country],CountryTable[[#This Row],[Common Name]])=0,"",TEXT(_xlfn.MAXIFS(TripTable[Date],TripTable[Country],CountryTable[[#This Row],[Common Name]]),"MMM JJJJ"))</f>
        <v/>
      </c>
      <c r="J123" s="8" t="s">
        <v>208</v>
      </c>
      <c r="K123" s="6" t="e" vm="122">
        <f t="shared" si="3"/>
        <v>#VALUE!</v>
      </c>
    </row>
    <row r="124" spans="1:11" ht="39" customHeight="1" x14ac:dyDescent="0.2">
      <c r="A124" s="5" t="s">
        <v>744</v>
      </c>
      <c r="B124" s="6" t="s">
        <v>768</v>
      </c>
      <c r="C124" s="10" t="s">
        <v>769</v>
      </c>
      <c r="D124" s="9">
        <v>2789533</v>
      </c>
      <c r="E124" s="9">
        <v>65200</v>
      </c>
      <c r="F124" s="6" t="s">
        <v>1074</v>
      </c>
      <c r="G124" s="6" cm="1">
        <f t="array" ref="G12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4" s="6" t="str">
        <f>IF(COUNTIFS(TripTable[Country],CountryTable[[#This Row],[Common Name]])=0,"",TEXT(_xlfn.MINIFS(TripTable[Date],TripTable[Country],CountryTable[[#This Row],[Common Name]]),"MMM JJJJ"))</f>
        <v/>
      </c>
      <c r="I124" s="6" t="str">
        <f>IF(COUNTIFS(TripTable[Country],CountryTable[[#This Row],[Common Name]])=0,"",TEXT(_xlfn.MAXIFS(TripTable[Date],TripTable[Country],CountryTable[[#This Row],[Common Name]]),"MMM JJJJ"))</f>
        <v/>
      </c>
      <c r="J124" s="8" t="s">
        <v>1258</v>
      </c>
      <c r="K124" s="6" t="e" vm="123">
        <f t="shared" si="3"/>
        <v>#VALUE!</v>
      </c>
    </row>
    <row r="125" spans="1:11" ht="39" customHeight="1" x14ac:dyDescent="0.2">
      <c r="A125" s="5" t="s">
        <v>181</v>
      </c>
      <c r="B125" s="6" t="s">
        <v>24</v>
      </c>
      <c r="C125" s="10" t="s">
        <v>280</v>
      </c>
      <c r="D125" s="9">
        <v>607728</v>
      </c>
      <c r="E125" s="9">
        <v>2586</v>
      </c>
      <c r="F125" s="6" t="s">
        <v>24</v>
      </c>
      <c r="G125" s="6" cm="1">
        <f t="array" ref="G1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5" s="6" t="str">
        <f>IF(COUNTIFS(TripTable[Country],CountryTable[[#This Row],[Common Name]])=0,"",TEXT(_xlfn.MINIFS(TripTable[Date],TripTable[Country],CountryTable[[#This Row],[Common Name]]),"MMM JJJJ"))</f>
        <v/>
      </c>
      <c r="I125" s="6" t="str">
        <f>IF(COUNTIFS(TripTable[Country],CountryTable[[#This Row],[Common Name]])=0,"",TEXT(_xlfn.MAXIFS(TripTable[Date],TripTable[Country],CountryTable[[#This Row],[Common Name]]),"MMM JJJJ"))</f>
        <v/>
      </c>
      <c r="J125" s="8" t="s">
        <v>209</v>
      </c>
      <c r="K125" s="6" t="e" vm="124">
        <f t="shared" si="3"/>
        <v>#VALUE!</v>
      </c>
    </row>
    <row r="126" spans="1:11" ht="39" customHeight="1" x14ac:dyDescent="0.2">
      <c r="A126" s="5" t="s">
        <v>182</v>
      </c>
      <c r="B126" s="7" t="s">
        <v>25</v>
      </c>
      <c r="C126" s="10" t="s">
        <v>281</v>
      </c>
      <c r="D126" s="9">
        <v>631636</v>
      </c>
      <c r="E126" s="9">
        <v>254</v>
      </c>
      <c r="F126" s="6" t="s">
        <v>183</v>
      </c>
      <c r="G126" s="6" cm="1">
        <f t="array" ref="G1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6" s="6" t="str">
        <f>IF(COUNTIFS(TripTable[Country],CountryTable[[#This Row],[Common Name]])=0,"",TEXT(_xlfn.MINIFS(TripTable[Date],TripTable[Country],CountryTable[[#This Row],[Common Name]]),"MMM JJJJ"))</f>
        <v/>
      </c>
      <c r="I126" s="6" t="str">
        <f>IF(COUNTIFS(TripTable[Country],CountryTable[[#This Row],[Common Name]])=0,"",TEXT(_xlfn.MAXIFS(TripTable[Date],TripTable[Country],CountryTable[[#This Row],[Common Name]]),"MMM JJJJ"))</f>
        <v/>
      </c>
      <c r="J126" s="8" t="s">
        <v>242</v>
      </c>
      <c r="K126" s="6" t="e" vm="125">
        <f t="shared" si="3"/>
        <v>#VALUE!</v>
      </c>
    </row>
    <row r="127" spans="1:11" ht="39" customHeight="1" x14ac:dyDescent="0.2">
      <c r="A127" s="5" t="s">
        <v>749</v>
      </c>
      <c r="B127" s="6" t="s">
        <v>777</v>
      </c>
      <c r="C127" s="10" t="s">
        <v>778</v>
      </c>
      <c r="D127" s="9">
        <v>26262368</v>
      </c>
      <c r="E127" s="9">
        <v>587040</v>
      </c>
      <c r="F127" s="6" t="s">
        <v>1078</v>
      </c>
      <c r="G127" s="6" cm="1">
        <f t="array" ref="G1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7" s="6" t="str">
        <f>IF(COUNTIFS(TripTable[Country],CountryTable[[#This Row],[Common Name]])=0,"",TEXT(_xlfn.MINIFS(TripTable[Date],TripTable[Country],CountryTable[[#This Row],[Common Name]]),"MMM JJJJ"))</f>
        <v/>
      </c>
      <c r="I127" s="6" t="str">
        <f>IF(COUNTIFS(TripTable[Country],CountryTable[[#This Row],[Common Name]])=0,"",TEXT(_xlfn.MAXIFS(TripTable[Date],TripTable[Country],CountryTable[[#This Row],[Common Name]]),"MMM JJJJ"))</f>
        <v/>
      </c>
      <c r="J127" s="8" t="s">
        <v>1259</v>
      </c>
      <c r="K127" s="6" t="e" vm="126">
        <f t="shared" si="3"/>
        <v>#VALUE!</v>
      </c>
    </row>
    <row r="128" spans="1:11" ht="39" customHeight="1" x14ac:dyDescent="0.2">
      <c r="A128" s="5" t="s">
        <v>757</v>
      </c>
      <c r="B128" s="6" t="s">
        <v>794</v>
      </c>
      <c r="C128" s="10" t="s">
        <v>795</v>
      </c>
      <c r="D128" s="9">
        <v>17563749</v>
      </c>
      <c r="E128" s="9">
        <v>118480</v>
      </c>
      <c r="F128" s="6" t="s">
        <v>1090</v>
      </c>
      <c r="G128" s="6" cm="1">
        <f t="array" ref="G12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8" s="6" t="str">
        <f>IF(COUNTIFS(TripTable[Country],CountryTable[[#This Row],[Common Name]])=0,"",TEXT(_xlfn.MINIFS(TripTable[Date],TripTable[Country],CountryTable[[#This Row],[Common Name]]),"MMM JJJJ"))</f>
        <v/>
      </c>
      <c r="I128" s="6" t="str">
        <f>IF(COUNTIFS(TripTable[Country],CountryTable[[#This Row],[Common Name]])=0,"",TEXT(_xlfn.MAXIFS(TripTable[Date],TripTable[Country],CountryTable[[#This Row],[Common Name]]),"MMM JJJJ"))</f>
        <v/>
      </c>
      <c r="J128" s="8" t="s">
        <v>1260</v>
      </c>
      <c r="K128" s="6" t="e" vm="127">
        <f t="shared" si="3"/>
        <v>#VALUE!</v>
      </c>
    </row>
    <row r="129" spans="1:11" ht="39" customHeight="1" x14ac:dyDescent="0.2">
      <c r="A129" s="5" t="s">
        <v>115</v>
      </c>
      <c r="B129" s="6" t="s">
        <v>26</v>
      </c>
      <c r="C129" s="10" t="s">
        <v>26</v>
      </c>
      <c r="D129" s="9">
        <v>31528585</v>
      </c>
      <c r="E129" s="9">
        <v>329750</v>
      </c>
      <c r="F129" s="6" t="s">
        <v>116</v>
      </c>
      <c r="G129" s="6" cm="1">
        <f t="array" ref="G1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9" s="6" t="str">
        <f>IF(COUNTIFS(TripTable[Country],CountryTable[[#This Row],[Common Name]])=0,"",TEXT(_xlfn.MINIFS(TripTable[Date],TripTable[Country],CountryTable[[#This Row],[Common Name]]),"MMM JJJJ"))</f>
        <v/>
      </c>
      <c r="I129" s="6" t="str">
        <f>IF(COUNTIFS(TripTable[Country],CountryTable[[#This Row],[Common Name]])=0,"",TEXT(_xlfn.MAXIFS(TripTable[Date],TripTable[Country],CountryTable[[#This Row],[Common Name]]),"MMM JJJJ"))</f>
        <v/>
      </c>
      <c r="J129" s="8" t="s">
        <v>210</v>
      </c>
      <c r="K129" s="6" t="e" vm="128">
        <f t="shared" si="3"/>
        <v>#VALUE!</v>
      </c>
    </row>
    <row r="130" spans="1:11" ht="39" customHeight="1" x14ac:dyDescent="0.2">
      <c r="A130" s="5" t="s">
        <v>756</v>
      </c>
      <c r="B130" s="6" t="s">
        <v>792</v>
      </c>
      <c r="C130" s="10" t="s">
        <v>793</v>
      </c>
      <c r="D130" s="9">
        <v>515696</v>
      </c>
      <c r="E130" s="9">
        <v>300</v>
      </c>
      <c r="F130" s="6" t="s">
        <v>1089</v>
      </c>
      <c r="G130" s="6" cm="1">
        <f t="array" ref="G13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0" s="6" t="str">
        <f>IF(COUNTIFS(TripTable[Country],CountryTable[[#This Row],[Common Name]])=0,"",TEXT(_xlfn.MINIFS(TripTable[Date],TripTable[Country],CountryTable[[#This Row],[Common Name]]),"MMM JJJJ"))</f>
        <v/>
      </c>
      <c r="I130" s="6" t="str">
        <f>IF(COUNTIFS(TripTable[Country],CountryTable[[#This Row],[Common Name]])=0,"",TEXT(_xlfn.MAXIFS(TripTable[Date],TripTable[Country],CountryTable[[#This Row],[Common Name]]),"MMM JJJJ"))</f>
        <v/>
      </c>
      <c r="J130" s="8" t="s">
        <v>1261</v>
      </c>
      <c r="K130" s="6" t="e" vm="129">
        <f t="shared" ref="K130:K160" si="4">_xlfn.IMAGE("https://flagsapi.com/" &amp; A130 &amp; "/flat/64.png", "Flag of " &amp; A130,0)</f>
        <v>#VALUE!</v>
      </c>
    </row>
    <row r="131" spans="1:11" ht="39" customHeight="1" x14ac:dyDescent="0.2">
      <c r="A131" s="5" t="s">
        <v>752</v>
      </c>
      <c r="B131" s="6" t="s">
        <v>783</v>
      </c>
      <c r="C131" s="10" t="s">
        <v>784</v>
      </c>
      <c r="D131" s="9">
        <v>19077690</v>
      </c>
      <c r="E131" s="9">
        <v>1240000</v>
      </c>
      <c r="F131" s="6" t="s">
        <v>1081</v>
      </c>
      <c r="G131" s="6" cm="1">
        <f t="array" ref="G13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1" s="6" t="str">
        <f>IF(COUNTIFS(TripTable[Country],CountryTable[[#This Row],[Common Name]])=0,"",TEXT(_xlfn.MINIFS(TripTable[Date],TripTable[Country],CountryTable[[#This Row],[Common Name]]),"MMM JJJJ"))</f>
        <v/>
      </c>
      <c r="I131" s="6" t="str">
        <f>IF(COUNTIFS(TripTable[Country],CountryTable[[#This Row],[Common Name]])=0,"",TEXT(_xlfn.MAXIFS(TripTable[Date],TripTable[Country],CountryTable[[#This Row],[Common Name]]),"MMM JJJJ"))</f>
        <v/>
      </c>
      <c r="J131" s="8" t="s">
        <v>1262</v>
      </c>
      <c r="K131" s="6" t="e" vm="130">
        <f t="shared" si="4"/>
        <v>#VALUE!</v>
      </c>
    </row>
    <row r="132" spans="1:11" ht="39" customHeight="1" x14ac:dyDescent="0.2">
      <c r="A132" s="5" t="s">
        <v>184</v>
      </c>
      <c r="B132" s="6" t="s">
        <v>27</v>
      </c>
      <c r="C132" s="10" t="s">
        <v>282</v>
      </c>
      <c r="D132" s="9">
        <v>483530</v>
      </c>
      <c r="E132" s="9">
        <v>316</v>
      </c>
      <c r="F132" s="6" t="s">
        <v>255</v>
      </c>
      <c r="G132" s="6" cm="1">
        <f t="array" ref="G13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2" s="6" t="str">
        <f>IF(COUNTIFS(TripTable[Country],CountryTable[[#This Row],[Common Name]])=0,"",TEXT(_xlfn.MINIFS(TripTable[Date],TripTable[Country],CountryTable[[#This Row],[Common Name]]),"MMM JJJJ"))</f>
        <v/>
      </c>
      <c r="I132" s="6" t="str">
        <f>IF(COUNTIFS(TripTable[Country],CountryTable[[#This Row],[Common Name]])=0,"",TEXT(_xlfn.MAXIFS(TripTable[Date],TripTable[Country],CountryTable[[#This Row],[Common Name]]),"MMM JJJJ"))</f>
        <v/>
      </c>
      <c r="J132" s="8" t="s">
        <v>211</v>
      </c>
      <c r="K132" s="6" t="e" vm="131">
        <f t="shared" si="4"/>
        <v>#VALUE!</v>
      </c>
    </row>
    <row r="133" spans="1:11" ht="39" customHeight="1" x14ac:dyDescent="0.2">
      <c r="A133" s="5" t="s">
        <v>750</v>
      </c>
      <c r="B133" s="6" t="s">
        <v>779</v>
      </c>
      <c r="C133" s="10" t="s">
        <v>780</v>
      </c>
      <c r="D133" s="9">
        <v>58413</v>
      </c>
      <c r="E133" s="9">
        <v>181.3</v>
      </c>
      <c r="F133" s="6" t="s">
        <v>1079</v>
      </c>
      <c r="G133" s="6" cm="1">
        <f t="array" ref="G1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3" s="6" t="str">
        <f>IF(COUNTIFS(TripTable[Country],CountryTable[[#This Row],[Common Name]])=0,"",TEXT(_xlfn.MINIFS(TripTable[Date],TripTable[Country],CountryTable[[#This Row],[Common Name]]),"MMM JJJJ"))</f>
        <v/>
      </c>
      <c r="I133" s="6" t="str">
        <f>IF(COUNTIFS(TripTable[Country],CountryTable[[#This Row],[Common Name]])=0,"",TEXT(_xlfn.MAXIFS(TripTable[Date],TripTable[Country],CountryTable[[#This Row],[Common Name]]),"MMM JJJJ"))</f>
        <v/>
      </c>
      <c r="J133" s="8" t="s">
        <v>1263</v>
      </c>
      <c r="K133" s="6" t="e" vm="132">
        <f t="shared" si="4"/>
        <v>#VALUE!</v>
      </c>
    </row>
    <row r="134" spans="1:11" ht="39" customHeight="1" x14ac:dyDescent="0.2">
      <c r="A134" s="5" t="s">
        <v>989</v>
      </c>
      <c r="B134" s="6" t="s">
        <v>998</v>
      </c>
      <c r="C134" s="10" t="s">
        <v>998</v>
      </c>
      <c r="D134" s="9">
        <v>432900</v>
      </c>
      <c r="E134" s="9">
        <v>1100</v>
      </c>
      <c r="F134" s="6" t="s">
        <v>1085</v>
      </c>
      <c r="G134" s="6" cm="1">
        <f t="array" ref="G1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4" s="6" t="str">
        <f>IF(COUNTIFS(TripTable[Country],CountryTable[[#This Row],[Common Name]])=0,"",TEXT(_xlfn.MINIFS(TripTable[Date],TripTable[Country],CountryTable[[#This Row],[Common Name]]),"MMM JJJJ"))</f>
        <v/>
      </c>
      <c r="I134" s="6" t="str">
        <f>IF(COUNTIFS(TripTable[Country],CountryTable[[#This Row],[Common Name]])=0,"",TEXT(_xlfn.MAXIFS(TripTable[Date],TripTable[Country],CountryTable[[#This Row],[Common Name]]),"MMM JJJJ"))</f>
        <v/>
      </c>
      <c r="J134" s="8" t="s">
        <v>1264</v>
      </c>
      <c r="K134" s="6" t="e" vm="133">
        <f t="shared" si="4"/>
        <v>#VALUE!</v>
      </c>
    </row>
    <row r="135" spans="1:11" ht="39" customHeight="1" x14ac:dyDescent="0.2">
      <c r="A135" s="5" t="s">
        <v>755</v>
      </c>
      <c r="B135" s="6" t="s">
        <v>788</v>
      </c>
      <c r="C135" s="10" t="s">
        <v>789</v>
      </c>
      <c r="D135" s="9">
        <v>4403319</v>
      </c>
      <c r="E135" s="9">
        <v>1030700</v>
      </c>
      <c r="F135" s="6" t="s">
        <v>1086</v>
      </c>
      <c r="G135" s="6" cm="1">
        <f t="array" ref="G1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5" s="6" t="str">
        <f>IF(COUNTIFS(TripTable[Country],CountryTable[[#This Row],[Common Name]])=0,"",TEXT(_xlfn.MINIFS(TripTable[Date],TripTable[Country],CountryTable[[#This Row],[Common Name]]),"MMM JJJJ"))</f>
        <v/>
      </c>
      <c r="I135" s="6" t="str">
        <f>IF(COUNTIFS(TripTable[Country],CountryTable[[#This Row],[Common Name]])=0,"",TEXT(_xlfn.MAXIFS(TripTable[Date],TripTable[Country],CountryTable[[#This Row],[Common Name]]),"MMM JJJJ"))</f>
        <v/>
      </c>
      <c r="J135" s="8" t="s">
        <v>1265</v>
      </c>
      <c r="K135" s="6" t="e" vm="134">
        <f t="shared" si="4"/>
        <v>#VALUE!</v>
      </c>
    </row>
    <row r="136" spans="1:11" ht="39" customHeight="1" x14ac:dyDescent="0.2">
      <c r="A136" s="5" t="s">
        <v>418</v>
      </c>
      <c r="B136" s="6" t="s">
        <v>790</v>
      </c>
      <c r="C136" s="10" t="s">
        <v>791</v>
      </c>
      <c r="D136" s="9">
        <v>1265303</v>
      </c>
      <c r="E136" s="9">
        <v>2040</v>
      </c>
      <c r="F136" s="6" t="s">
        <v>1088</v>
      </c>
      <c r="G136" s="6" cm="1">
        <f t="array" ref="G1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6" s="6" t="str">
        <f>IF(COUNTIFS(TripTable[Country],CountryTable[[#This Row],[Common Name]])=0,"",TEXT(_xlfn.MINIFS(TripTable[Date],TripTable[Country],CountryTable[[#This Row],[Common Name]]),"MMM JJJJ"))</f>
        <v/>
      </c>
      <c r="I136" s="6" t="str">
        <f>IF(COUNTIFS(TripTable[Country],CountryTable[[#This Row],[Common Name]])=0,"",TEXT(_xlfn.MAXIFS(TripTable[Date],TripTable[Country],CountryTable[[#This Row],[Common Name]]),"MMM JJJJ"))</f>
        <v/>
      </c>
      <c r="J136" s="8" t="s">
        <v>1266</v>
      </c>
      <c r="K136" s="6" t="e" vm="135">
        <f t="shared" si="4"/>
        <v>#VALUE!</v>
      </c>
    </row>
    <row r="137" spans="1:11" ht="39" customHeight="1" x14ac:dyDescent="0.2">
      <c r="A137" s="5" t="s">
        <v>973</v>
      </c>
      <c r="B137" s="6" t="s">
        <v>979</v>
      </c>
      <c r="C137" s="10" t="s">
        <v>980</v>
      </c>
      <c r="D137" s="9">
        <v>279471</v>
      </c>
      <c r="E137" s="9">
        <v>374</v>
      </c>
      <c r="F137" s="6" t="s">
        <v>1151</v>
      </c>
      <c r="G137" s="6" cm="1">
        <f t="array" ref="G13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7" s="6" t="str">
        <f>IF(COUNTIFS(TripTable[Country],CountryTable[[#This Row],[Common Name]])=0,"",TEXT(_xlfn.MINIFS(TripTable[Date],TripTable[Country],CountryTable[[#This Row],[Common Name]]),"MMM JJJJ"))</f>
        <v/>
      </c>
      <c r="I137" s="6" t="str">
        <f>IF(COUNTIFS(TripTable[Country],CountryTable[[#This Row],[Common Name]])=0,"",TEXT(_xlfn.MAXIFS(TripTable[Date],TripTable[Country],CountryTable[[#This Row],[Common Name]]),"MMM JJJJ"))</f>
        <v/>
      </c>
      <c r="J137" s="8" t="s">
        <v>1267</v>
      </c>
      <c r="K137" s="6" t="e" vm="136">
        <f t="shared" si="4"/>
        <v>#VALUE!</v>
      </c>
    </row>
    <row r="138" spans="1:11" ht="39" customHeight="1" x14ac:dyDescent="0.2">
      <c r="A138" s="5" t="s">
        <v>117</v>
      </c>
      <c r="B138" s="6" t="s">
        <v>28</v>
      </c>
      <c r="C138" s="10" t="s">
        <v>283</v>
      </c>
      <c r="D138" s="9">
        <v>126190788</v>
      </c>
      <c r="E138" s="9">
        <v>1972550</v>
      </c>
      <c r="F138" s="6" t="s">
        <v>118</v>
      </c>
      <c r="G138" s="6" cm="1">
        <f t="array" ref="G13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8" s="6" t="str">
        <f>IF(COUNTIFS(TripTable[Country],CountryTable[[#This Row],[Common Name]])=0,"",TEXT(_xlfn.MINIFS(TripTable[Date],TripTable[Country],CountryTable[[#This Row],[Common Name]]),"MMM JJJJ"))</f>
        <v/>
      </c>
      <c r="I138" s="6" t="str">
        <f>IF(COUNTIFS(TripTable[Country],CountryTable[[#This Row],[Common Name]])=0,"",TEXT(_xlfn.MAXIFS(TripTable[Date],TripTable[Country],CountryTable[[#This Row],[Common Name]]),"MMM JJJJ"))</f>
        <v/>
      </c>
      <c r="J138" s="8" t="s">
        <v>212</v>
      </c>
      <c r="K138" s="6" t="e" vm="137">
        <f t="shared" si="4"/>
        <v>#VALUE!</v>
      </c>
    </row>
    <row r="139" spans="1:11" ht="39" customHeight="1" x14ac:dyDescent="0.2">
      <c r="A139" s="5" t="s">
        <v>597</v>
      </c>
      <c r="B139" s="6" t="s">
        <v>660</v>
      </c>
      <c r="C139" s="10" t="s">
        <v>661</v>
      </c>
      <c r="D139" s="9">
        <v>112640</v>
      </c>
      <c r="E139" s="9">
        <v>702</v>
      </c>
      <c r="F139" s="6" t="s">
        <v>1036</v>
      </c>
      <c r="G139" s="6" cm="1">
        <f t="array" ref="G13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9" s="6" t="str">
        <f>IF(COUNTIFS(TripTable[Country],CountryTable[[#This Row],[Common Name]])=0,"",TEXT(_xlfn.MINIFS(TripTable[Date],TripTable[Country],CountryTable[[#This Row],[Common Name]]),"MMM JJJJ"))</f>
        <v/>
      </c>
      <c r="I139" s="6" t="str">
        <f>IF(COUNTIFS(TripTable[Country],CountryTable[[#This Row],[Common Name]])=0,"",TEXT(_xlfn.MAXIFS(TripTable[Date],TripTable[Country],CountryTable[[#This Row],[Common Name]]),"MMM JJJJ"))</f>
        <v/>
      </c>
      <c r="J139" s="8" t="s">
        <v>1268</v>
      </c>
      <c r="K139" s="6" t="e" vm="138">
        <f t="shared" si="4"/>
        <v>#VALUE!</v>
      </c>
    </row>
    <row r="140" spans="1:11" ht="39" customHeight="1" x14ac:dyDescent="0.2">
      <c r="A140" s="5" t="s">
        <v>119</v>
      </c>
      <c r="B140" s="6" t="s">
        <v>29</v>
      </c>
      <c r="C140" s="10" t="s">
        <v>284</v>
      </c>
      <c r="D140" s="9">
        <v>3545883</v>
      </c>
      <c r="E140" s="9">
        <v>33843</v>
      </c>
      <c r="F140" s="6" t="s">
        <v>256</v>
      </c>
      <c r="G140" s="6" cm="1">
        <f t="array" ref="G14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0" s="6" t="str">
        <f>IF(COUNTIFS(TripTable[Country],CountryTable[[#This Row],[Common Name]])=0,"",TEXT(_xlfn.MINIFS(TripTable[Date],TripTable[Country],CountryTable[[#This Row],[Common Name]]),"MMM JJJJ"))</f>
        <v/>
      </c>
      <c r="I140" s="6" t="str">
        <f>IF(COUNTIFS(TripTable[Country],CountryTable[[#This Row],[Common Name]])=0,"",TEXT(_xlfn.MAXIFS(TripTable[Date],TripTable[Country],CountryTable[[#This Row],[Common Name]]),"MMM JJJJ"))</f>
        <v/>
      </c>
      <c r="J140" s="8" t="s">
        <v>213</v>
      </c>
      <c r="K140" s="6" t="e" vm="139">
        <f t="shared" si="4"/>
        <v>#VALUE!</v>
      </c>
    </row>
    <row r="141" spans="1:11" ht="39" customHeight="1" x14ac:dyDescent="0.2">
      <c r="A141" s="5" t="s">
        <v>160</v>
      </c>
      <c r="B141" s="6" t="s">
        <v>30</v>
      </c>
      <c r="C141" s="10" t="s">
        <v>285</v>
      </c>
      <c r="D141" s="9">
        <v>38682</v>
      </c>
      <c r="E141" s="9">
        <v>1.95</v>
      </c>
      <c r="F141" s="6" t="s">
        <v>30</v>
      </c>
      <c r="G141" s="6" cm="1">
        <f t="array" ref="G14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1" s="6" t="str">
        <f>IF(COUNTIFS(TripTable[Country],CountryTable[[#This Row],[Common Name]])=0,"",TEXT(_xlfn.MINIFS(TripTable[Date],TripTable[Country],CountryTable[[#This Row],[Common Name]]),"MMM JJJJ"))</f>
        <v/>
      </c>
      <c r="I141" s="6" t="str">
        <f>IF(COUNTIFS(TripTable[Country],CountryTable[[#This Row],[Common Name]])=0,"",TEXT(_xlfn.MAXIFS(TripTable[Date],TripTable[Country],CountryTable[[#This Row],[Common Name]]),"MMM JJJJ"))</f>
        <v/>
      </c>
      <c r="J141" s="8" t="s">
        <v>214</v>
      </c>
      <c r="K141" s="6" t="e" vm="140">
        <f t="shared" si="4"/>
        <v>#VALUE!</v>
      </c>
    </row>
    <row r="142" spans="1:11" ht="39" customHeight="1" x14ac:dyDescent="0.2">
      <c r="A142" s="5" t="s">
        <v>754</v>
      </c>
      <c r="B142" s="6" t="s">
        <v>787</v>
      </c>
      <c r="C142" s="10" t="s">
        <v>787</v>
      </c>
      <c r="D142" s="9">
        <v>3170208</v>
      </c>
      <c r="E142" s="9">
        <v>1565000</v>
      </c>
      <c r="F142" s="6" t="s">
        <v>1083</v>
      </c>
      <c r="G142" s="6" cm="1">
        <f t="array" ref="G1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2" s="6" t="str">
        <f>IF(COUNTIFS(TripTable[Country],CountryTable[[#This Row],[Common Name]])=0,"",TEXT(_xlfn.MINIFS(TripTable[Date],TripTable[Country],CountryTable[[#This Row],[Common Name]]),"MMM JJJJ"))</f>
        <v/>
      </c>
      <c r="I142" s="6" t="str">
        <f>IF(COUNTIFS(TripTable[Country],CountryTable[[#This Row],[Common Name]])=0,"",TEXT(_xlfn.MAXIFS(TripTable[Date],TripTable[Country],CountryTable[[#This Row],[Common Name]]),"MMM JJJJ"))</f>
        <v/>
      </c>
      <c r="J142" s="8" t="s">
        <v>1269</v>
      </c>
      <c r="K142" s="6" t="e" vm="141">
        <f t="shared" si="4"/>
        <v>#VALUE!</v>
      </c>
    </row>
    <row r="143" spans="1:11" ht="39" customHeight="1" x14ac:dyDescent="0.2">
      <c r="A143" s="5" t="s">
        <v>120</v>
      </c>
      <c r="B143" s="6" t="s">
        <v>31</v>
      </c>
      <c r="C143" s="10" t="s">
        <v>31</v>
      </c>
      <c r="D143" s="9">
        <v>622345</v>
      </c>
      <c r="E143" s="9">
        <v>14026</v>
      </c>
      <c r="F143" s="6" t="s">
        <v>257</v>
      </c>
      <c r="G143" s="6" cm="1">
        <f t="array" ref="G14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3" s="6" t="str">
        <f>IF(COUNTIFS(TripTable[Country],CountryTable[[#This Row],[Common Name]])=0,"",TEXT(_xlfn.MINIFS(TripTable[Date],TripTable[Country],CountryTable[[#This Row],[Common Name]]),"MMM JJJJ"))</f>
        <v/>
      </c>
      <c r="I143" s="6" t="str">
        <f>IF(COUNTIFS(TripTable[Country],CountryTable[[#This Row],[Common Name]])=0,"",TEXT(_xlfn.MAXIFS(TripTable[Date],TripTable[Country],CountryTable[[#This Row],[Common Name]]),"MMM JJJJ"))</f>
        <v/>
      </c>
      <c r="J143" s="8" t="s">
        <v>215</v>
      </c>
      <c r="K143" s="6" t="e" vm="142">
        <f t="shared" si="4"/>
        <v>#VALUE!</v>
      </c>
    </row>
    <row r="144" spans="1:11" ht="39" customHeight="1" x14ac:dyDescent="0.2">
      <c r="A144" s="5" t="s">
        <v>987</v>
      </c>
      <c r="B144" s="6" t="s">
        <v>995</v>
      </c>
      <c r="C144" s="10" t="s">
        <v>995</v>
      </c>
      <c r="D144" s="9">
        <v>9341</v>
      </c>
      <c r="E144" s="9">
        <v>102</v>
      </c>
      <c r="F144" s="6" t="s">
        <v>1087</v>
      </c>
      <c r="G144" s="6" cm="1">
        <f t="array" ref="G1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4" s="6" t="str">
        <f>IF(COUNTIFS(TripTable[Country],CountryTable[[#This Row],[Common Name]])=0,"",TEXT(_xlfn.MINIFS(TripTable[Date],TripTable[Country],CountryTable[[#This Row],[Common Name]]),"MMM JJJJ"))</f>
        <v/>
      </c>
      <c r="I144" s="6" t="str">
        <f>IF(COUNTIFS(TripTable[Country],CountryTable[[#This Row],[Common Name]])=0,"",TEXT(_xlfn.MAXIFS(TripTable[Date],TripTable[Country],CountryTable[[#This Row],[Common Name]]),"MMM JJJJ"))</f>
        <v/>
      </c>
      <c r="J144" s="8" t="s">
        <v>1270</v>
      </c>
      <c r="K144" s="6" t="e" vm="143">
        <f t="shared" si="4"/>
        <v>#VALUE!</v>
      </c>
    </row>
    <row r="145" spans="1:11" ht="39" customHeight="1" x14ac:dyDescent="0.2">
      <c r="A145" s="5" t="s">
        <v>747</v>
      </c>
      <c r="B145" s="6" t="s">
        <v>774</v>
      </c>
      <c r="C145" s="10" t="s">
        <v>775</v>
      </c>
      <c r="D145" s="9">
        <v>36029138</v>
      </c>
      <c r="E145" s="9">
        <v>446550</v>
      </c>
      <c r="F145" s="6" t="s">
        <v>475</v>
      </c>
      <c r="G145" s="6" cm="1">
        <f t="array" ref="G14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5" s="6" t="str">
        <f>IF(COUNTIFS(TripTable[Country],CountryTable[[#This Row],[Common Name]])=0,"",TEXT(_xlfn.MINIFS(TripTable[Date],TripTable[Country],CountryTable[[#This Row],[Common Name]]),"MMM JJJJ"))</f>
        <v/>
      </c>
      <c r="I145" s="6" t="str">
        <f>IF(COUNTIFS(TripTable[Country],CountryTable[[#This Row],[Common Name]])=0,"",TEXT(_xlfn.MAXIFS(TripTable[Date],TripTable[Country],CountryTable[[#This Row],[Common Name]]),"MMM JJJJ"))</f>
        <v/>
      </c>
      <c r="J145" s="8" t="s">
        <v>1271</v>
      </c>
      <c r="K145" s="6" t="e" vm="144">
        <f t="shared" si="4"/>
        <v>#VALUE!</v>
      </c>
    </row>
    <row r="146" spans="1:11" ht="39" customHeight="1" x14ac:dyDescent="0.2">
      <c r="A146" s="5" t="s">
        <v>758</v>
      </c>
      <c r="B146" s="6" t="s">
        <v>796</v>
      </c>
      <c r="C146" s="10" t="s">
        <v>797</v>
      </c>
      <c r="D146" s="9">
        <v>29495962</v>
      </c>
      <c r="E146" s="9">
        <v>801590</v>
      </c>
      <c r="F146" s="6" t="s">
        <v>1091</v>
      </c>
      <c r="G146" s="6" cm="1">
        <f t="array" ref="G14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6" s="6" t="str">
        <f>IF(COUNTIFS(TripTable[Country],CountryTable[[#This Row],[Common Name]])=0,"",TEXT(_xlfn.MINIFS(TripTable[Date],TripTable[Country],CountryTable[[#This Row],[Common Name]]),"MMM JJJJ"))</f>
        <v/>
      </c>
      <c r="I146" s="6" t="str">
        <f>IF(COUNTIFS(TripTable[Country],CountryTable[[#This Row],[Common Name]])=0,"",TEXT(_xlfn.MAXIFS(TripTable[Date],TripTable[Country],CountryTable[[#This Row],[Common Name]]),"MMM JJJJ"))</f>
        <v/>
      </c>
      <c r="J146" s="8" t="s">
        <v>1272</v>
      </c>
      <c r="K146" s="6" t="e" vm="145">
        <f t="shared" si="4"/>
        <v>#VALUE!</v>
      </c>
    </row>
    <row r="147" spans="1:11" ht="39" customHeight="1" x14ac:dyDescent="0.2">
      <c r="A147" s="5" t="s">
        <v>753</v>
      </c>
      <c r="B147" s="6" t="s">
        <v>785</v>
      </c>
      <c r="C147" s="10" t="s">
        <v>786</v>
      </c>
      <c r="D147" s="9">
        <v>53708395</v>
      </c>
      <c r="E147" s="9">
        <v>678500</v>
      </c>
      <c r="F147" s="6" t="s">
        <v>1082</v>
      </c>
      <c r="G147" s="6" cm="1">
        <f t="array" ref="G14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7" s="6" t="str">
        <f>IF(COUNTIFS(TripTable[Country],CountryTable[[#This Row],[Common Name]])=0,"",TEXT(_xlfn.MINIFS(TripTable[Date],TripTable[Country],CountryTable[[#This Row],[Common Name]]),"MMM JJJJ"))</f>
        <v/>
      </c>
      <c r="I147" s="6" t="str">
        <f>IF(COUNTIFS(TripTable[Country],CountryTable[[#This Row],[Common Name]])=0,"",TEXT(_xlfn.MAXIFS(TripTable[Date],TripTable[Country],CountryTable[[#This Row],[Common Name]]),"MMM JJJJ"))</f>
        <v/>
      </c>
      <c r="J147" s="8" t="s">
        <v>1273</v>
      </c>
      <c r="K147" s="6" t="e" vm="146">
        <f t="shared" si="4"/>
        <v>#VALUE!</v>
      </c>
    </row>
    <row r="148" spans="1:11" ht="39" customHeight="1" x14ac:dyDescent="0.2">
      <c r="A148" s="5" t="s">
        <v>798</v>
      </c>
      <c r="B148" s="6" t="s">
        <v>806</v>
      </c>
      <c r="C148" s="10" t="s">
        <v>807</v>
      </c>
      <c r="D148" s="9">
        <v>2448255</v>
      </c>
      <c r="E148" s="9">
        <v>825418</v>
      </c>
      <c r="F148" s="6" t="s">
        <v>1092</v>
      </c>
      <c r="G148" s="6" cm="1">
        <f t="array" ref="G14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8" s="6" t="str">
        <f>IF(COUNTIFS(TripTable[Country],CountryTable[[#This Row],[Common Name]])=0,"",TEXT(_xlfn.MINIFS(TripTable[Date],TripTable[Country],CountryTable[[#This Row],[Common Name]]),"MMM JJJJ"))</f>
        <v/>
      </c>
      <c r="I148" s="6" t="str">
        <f>IF(COUNTIFS(TripTable[Country],CountryTable[[#This Row],[Common Name]])=0,"",TEXT(_xlfn.MAXIFS(TripTable[Date],TripTable[Country],CountryTable[[#This Row],[Common Name]]),"MMM JJJJ"))</f>
        <v/>
      </c>
      <c r="J148" s="8" t="s">
        <v>1274</v>
      </c>
      <c r="K148" s="6" t="e" vm="147">
        <f t="shared" si="4"/>
        <v>#VALUE!</v>
      </c>
    </row>
    <row r="149" spans="1:11" ht="39" customHeight="1" x14ac:dyDescent="0.2">
      <c r="A149" s="5" t="s">
        <v>805</v>
      </c>
      <c r="B149" s="6" t="s">
        <v>819</v>
      </c>
      <c r="C149" s="10" t="s">
        <v>820</v>
      </c>
      <c r="D149" s="9">
        <v>12704</v>
      </c>
      <c r="E149" s="9">
        <v>21</v>
      </c>
      <c r="F149" s="6" t="s">
        <v>1098</v>
      </c>
      <c r="G149" s="6" cm="1">
        <f t="array" ref="G14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9" s="6" t="str">
        <f>IF(COUNTIFS(TripTable[Country],CountryTable[[#This Row],[Common Name]])=0,"",TEXT(_xlfn.MINIFS(TripTable[Date],TripTable[Country],CountryTable[[#This Row],[Common Name]]),"MMM JJJJ"))</f>
        <v/>
      </c>
      <c r="I149" s="6" t="str">
        <f>IF(COUNTIFS(TripTable[Country],CountryTable[[#This Row],[Common Name]])=0,"",TEXT(_xlfn.MAXIFS(TripTable[Date],TripTable[Country],CountryTable[[#This Row],[Common Name]]),"MMM JJJJ"))</f>
        <v/>
      </c>
      <c r="J149" s="8" t="s">
        <v>1275</v>
      </c>
      <c r="K149" s="6" t="e" vm="148">
        <f t="shared" si="4"/>
        <v>#VALUE!</v>
      </c>
    </row>
    <row r="150" spans="1:11" ht="39" customHeight="1" x14ac:dyDescent="0.2">
      <c r="A150" s="5" t="s">
        <v>804</v>
      </c>
      <c r="B150" s="6" t="s">
        <v>817</v>
      </c>
      <c r="C150" s="10" t="s">
        <v>818</v>
      </c>
      <c r="D150" s="9">
        <v>28087871</v>
      </c>
      <c r="E150" s="9">
        <v>140800</v>
      </c>
      <c r="F150" s="6" t="s">
        <v>1097</v>
      </c>
      <c r="G150" s="6" cm="1">
        <f t="array" ref="G15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0" s="6" t="str">
        <f>IF(COUNTIFS(TripTable[Country],CountryTable[[#This Row],[Common Name]])=0,"",TEXT(_xlfn.MINIFS(TripTable[Date],TripTable[Country],CountryTable[[#This Row],[Common Name]]),"MMM JJJJ"))</f>
        <v/>
      </c>
      <c r="I150" s="6" t="str">
        <f>IF(COUNTIFS(TripTable[Country],CountryTable[[#This Row],[Common Name]])=0,"",TEXT(_xlfn.MAXIFS(TripTable[Date],TripTable[Country],CountryTable[[#This Row],[Common Name]]),"MMM JJJJ"))</f>
        <v/>
      </c>
      <c r="J150" s="8" t="s">
        <v>1276</v>
      </c>
      <c r="K150" s="6" t="e" vm="149">
        <f t="shared" si="4"/>
        <v>#VALUE!</v>
      </c>
    </row>
    <row r="151" spans="1:11" ht="39" customHeight="1" x14ac:dyDescent="0.2">
      <c r="A151" s="5" t="s">
        <v>121</v>
      </c>
      <c r="B151" s="6" t="s">
        <v>32</v>
      </c>
      <c r="C151" s="10" t="s">
        <v>286</v>
      </c>
      <c r="D151" s="9">
        <v>17231017</v>
      </c>
      <c r="E151" s="9">
        <v>41526</v>
      </c>
      <c r="F151" s="6" t="s">
        <v>122</v>
      </c>
      <c r="G151" s="6" cm="1">
        <f t="array" ref="G15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1" s="6" t="str">
        <f>IF(COUNTIFS(TripTable[Country],CountryTable[[#This Row],[Common Name]])=0,"",TEXT(_xlfn.MINIFS(TripTable[Date],TripTable[Country],CountryTable[[#This Row],[Common Name]]),"MMM JJJJ"))</f>
        <v/>
      </c>
      <c r="I151" s="6" t="str">
        <f>IF(COUNTIFS(TripTable[Country],CountryTable[[#This Row],[Common Name]])=0,"",TEXT(_xlfn.MAXIFS(TripTable[Date],TripTable[Country],CountryTable[[#This Row],[Common Name]]),"MMM JJJJ"))</f>
        <v/>
      </c>
      <c r="J151" s="8" t="s">
        <v>216</v>
      </c>
      <c r="K151" s="6" t="e" vm="150">
        <f t="shared" si="4"/>
        <v>#VALUE!</v>
      </c>
    </row>
    <row r="152" spans="1:11" ht="39" customHeight="1" x14ac:dyDescent="0.2">
      <c r="A152" s="5" t="s">
        <v>799</v>
      </c>
      <c r="B152" s="6" t="s">
        <v>808</v>
      </c>
      <c r="C152" s="10" t="s">
        <v>808</v>
      </c>
      <c r="D152" s="9">
        <v>284060</v>
      </c>
      <c r="E152" s="9">
        <v>19060</v>
      </c>
      <c r="F152" s="6" t="s">
        <v>1093</v>
      </c>
      <c r="G152" s="6" cm="1">
        <f t="array" ref="G15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2" s="6" t="str">
        <f>IF(COUNTIFS(TripTable[Country],CountryTable[[#This Row],[Common Name]])=0,"",TEXT(_xlfn.MINIFS(TripTable[Date],TripTable[Country],CountryTable[[#This Row],[Common Name]]),"MMM JJJJ"))</f>
        <v/>
      </c>
      <c r="I152" s="6" t="str">
        <f>IF(COUNTIFS(TripTable[Country],CountryTable[[#This Row],[Common Name]])=0,"",TEXT(_xlfn.MAXIFS(TripTable[Date],TripTable[Country],CountryTable[[#This Row],[Common Name]]),"MMM JJJJ"))</f>
        <v/>
      </c>
      <c r="J152" s="8" t="s">
        <v>1277</v>
      </c>
      <c r="K152" s="6" t="e" vm="151">
        <f t="shared" si="4"/>
        <v>#VALUE!</v>
      </c>
    </row>
    <row r="153" spans="1:11" ht="39" customHeight="1" x14ac:dyDescent="0.2">
      <c r="A153" s="5" t="s">
        <v>123</v>
      </c>
      <c r="B153" s="6" t="s">
        <v>33</v>
      </c>
      <c r="C153" s="10" t="s">
        <v>33</v>
      </c>
      <c r="D153" s="9">
        <v>4885500</v>
      </c>
      <c r="E153" s="9">
        <v>268680</v>
      </c>
      <c r="F153" s="6" t="s">
        <v>125</v>
      </c>
      <c r="G153" s="6" cm="1">
        <f t="array" ref="G15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3" s="6" t="str">
        <f>IF(COUNTIFS(TripTable[Country],CountryTable[[#This Row],[Common Name]])=0,"",TEXT(_xlfn.MINIFS(TripTable[Date],TripTable[Country],CountryTable[[#This Row],[Common Name]]),"MMM JJJJ"))</f>
        <v/>
      </c>
      <c r="I153" s="6" t="str">
        <f>IF(COUNTIFS(TripTable[Country],CountryTable[[#This Row],[Common Name]])=0,"",TEXT(_xlfn.MAXIFS(TripTable[Date],TripTable[Country],CountryTable[[#This Row],[Common Name]]),"MMM JJJJ"))</f>
        <v/>
      </c>
      <c r="J153" s="8" t="s">
        <v>241</v>
      </c>
      <c r="K153" s="6" t="e" vm="152">
        <f t="shared" si="4"/>
        <v>#VALUE!</v>
      </c>
    </row>
    <row r="154" spans="1:11" ht="39" customHeight="1" x14ac:dyDescent="0.2">
      <c r="A154" s="5" t="s">
        <v>803</v>
      </c>
      <c r="B154" s="6" t="s">
        <v>815</v>
      </c>
      <c r="C154" s="10" t="s">
        <v>816</v>
      </c>
      <c r="D154" s="9">
        <v>6465513</v>
      </c>
      <c r="E154" s="9">
        <v>129494</v>
      </c>
      <c r="F154" s="6" t="s">
        <v>1096</v>
      </c>
      <c r="G154" s="6" cm="1">
        <f t="array" ref="G15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4" s="6" t="str">
        <f>IF(COUNTIFS(TripTable[Country],CountryTable[[#This Row],[Common Name]])=0,"",TEXT(_xlfn.MINIFS(TripTable[Date],TripTable[Country],CountryTable[[#This Row],[Common Name]]),"MMM JJJJ"))</f>
        <v/>
      </c>
      <c r="I154" s="6" t="str">
        <f>IF(COUNTIFS(TripTable[Country],CountryTable[[#This Row],[Common Name]])=0,"",TEXT(_xlfn.MAXIFS(TripTable[Date],TripTable[Country],CountryTable[[#This Row],[Common Name]]),"MMM JJJJ"))</f>
        <v/>
      </c>
      <c r="J154" s="8" t="s">
        <v>1278</v>
      </c>
      <c r="K154" s="6" t="e" vm="153">
        <f t="shared" si="4"/>
        <v>#VALUE!</v>
      </c>
    </row>
    <row r="155" spans="1:11" ht="39" customHeight="1" x14ac:dyDescent="0.2">
      <c r="A155" s="5" t="s">
        <v>800</v>
      </c>
      <c r="B155" s="6" t="s">
        <v>809</v>
      </c>
      <c r="C155" s="10" t="s">
        <v>810</v>
      </c>
      <c r="D155" s="9">
        <v>22442948</v>
      </c>
      <c r="E155" s="9">
        <v>1267000</v>
      </c>
      <c r="F155" s="6" t="s">
        <v>1094</v>
      </c>
      <c r="G155" s="6" cm="1">
        <f t="array" ref="G15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5" s="6" t="str">
        <f>IF(COUNTIFS(TripTable[Country],CountryTable[[#This Row],[Common Name]])=0,"",TEXT(_xlfn.MINIFS(TripTable[Date],TripTable[Country],CountryTable[[#This Row],[Common Name]]),"MMM JJJJ"))</f>
        <v/>
      </c>
      <c r="I155" s="6" t="str">
        <f>IF(COUNTIFS(TripTable[Country],CountryTable[[#This Row],[Common Name]])=0,"",TEXT(_xlfn.MAXIFS(TripTable[Date],TripTable[Country],CountryTable[[#This Row],[Common Name]]),"MMM JJJJ"))</f>
        <v/>
      </c>
      <c r="J155" s="8" t="s">
        <v>1279</v>
      </c>
      <c r="K155" s="6" t="e" vm="154">
        <f t="shared" si="4"/>
        <v>#VALUE!</v>
      </c>
    </row>
    <row r="156" spans="1:11" ht="39" customHeight="1" x14ac:dyDescent="0.2">
      <c r="A156" s="5" t="s">
        <v>802</v>
      </c>
      <c r="B156" s="6" t="s">
        <v>813</v>
      </c>
      <c r="C156" s="10" t="s">
        <v>814</v>
      </c>
      <c r="D156" s="9">
        <v>195874740</v>
      </c>
      <c r="E156" s="9">
        <v>923768</v>
      </c>
      <c r="F156" s="6" t="s">
        <v>1095</v>
      </c>
      <c r="G156" s="6" cm="1">
        <f t="array" ref="G15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6" s="6" t="str">
        <f>IF(COUNTIFS(TripTable[Country],CountryTable[[#This Row],[Common Name]])=0,"",TEXT(_xlfn.MINIFS(TripTable[Date],TripTable[Country],CountryTable[[#This Row],[Common Name]]),"MMM JJJJ"))</f>
        <v/>
      </c>
      <c r="I156" s="6" t="str">
        <f>IF(COUNTIFS(TripTable[Country],CountryTable[[#This Row],[Common Name]])=0,"",TEXT(_xlfn.MAXIFS(TripTable[Date],TripTable[Country],CountryTable[[#This Row],[Common Name]]),"MMM JJJJ"))</f>
        <v/>
      </c>
      <c r="J156" s="8" t="s">
        <v>1280</v>
      </c>
      <c r="K156" s="6" t="e" vm="155">
        <f t="shared" si="4"/>
        <v>#VALUE!</v>
      </c>
    </row>
    <row r="157" spans="1:11" ht="39" customHeight="1" x14ac:dyDescent="0.2">
      <c r="A157" s="5" t="s">
        <v>821</v>
      </c>
      <c r="B157" s="6" t="s">
        <v>836</v>
      </c>
      <c r="C157" s="10" t="s">
        <v>836</v>
      </c>
      <c r="D157" s="9">
        <v>2166</v>
      </c>
      <c r="E157" s="9">
        <v>260</v>
      </c>
      <c r="F157" s="6" t="s">
        <v>1099</v>
      </c>
      <c r="G157" s="6" cm="1">
        <f t="array" ref="G15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7" s="6" t="str">
        <f>IF(COUNTIFS(TripTable[Country],CountryTable[[#This Row],[Common Name]])=0,"",TEXT(_xlfn.MINIFS(TripTable[Date],TripTable[Country],CountryTable[[#This Row],[Common Name]]),"MMM JJJJ"))</f>
        <v/>
      </c>
      <c r="I157" s="6" t="str">
        <f>IF(COUNTIFS(TripTable[Country],CountryTable[[#This Row],[Common Name]])=0,"",TEXT(_xlfn.MAXIFS(TripTable[Date],TripTable[Country],CountryTable[[#This Row],[Common Name]]),"MMM JJJJ"))</f>
        <v/>
      </c>
      <c r="J157" s="8" t="s">
        <v>1281</v>
      </c>
      <c r="K157" s="6" t="e" vm="156">
        <f t="shared" si="4"/>
        <v>#VALUE!</v>
      </c>
    </row>
    <row r="158" spans="1:11" ht="39" customHeight="1" x14ac:dyDescent="0.2">
      <c r="A158" s="5" t="s">
        <v>801</v>
      </c>
      <c r="B158" s="6" t="s">
        <v>811</v>
      </c>
      <c r="C158" s="10" t="s">
        <v>812</v>
      </c>
      <c r="D158" s="9">
        <v>1828</v>
      </c>
      <c r="E158" s="9">
        <v>34.6</v>
      </c>
      <c r="F158" s="6" t="s">
        <v>1058</v>
      </c>
      <c r="G158" s="6" cm="1">
        <f t="array" ref="G15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8" s="6" t="str">
        <f>IF(COUNTIFS(TripTable[Country],CountryTable[[#This Row],[Common Name]])=0,"",TEXT(_xlfn.MINIFS(TripTable[Date],TripTable[Country],CountryTable[[#This Row],[Common Name]]),"MMM JJJJ"))</f>
        <v/>
      </c>
      <c r="I158" s="6" t="str">
        <f>IF(COUNTIFS(TripTable[Country],CountryTable[[#This Row],[Common Name]])=0,"",TEXT(_xlfn.MAXIFS(TripTable[Date],TripTable[Country],CountryTable[[#This Row],[Common Name]]),"MMM JJJJ"))</f>
        <v/>
      </c>
      <c r="J158" s="8" t="s">
        <v>1282</v>
      </c>
      <c r="K158" s="6" t="e" vm="157">
        <f t="shared" si="4"/>
        <v>#VALUE!</v>
      </c>
    </row>
    <row r="159" spans="1:11" ht="39" customHeight="1" x14ac:dyDescent="0.2">
      <c r="A159" s="5" t="s">
        <v>704</v>
      </c>
      <c r="B159" s="6" t="s">
        <v>732</v>
      </c>
      <c r="C159" s="10" t="s">
        <v>733</v>
      </c>
      <c r="D159" s="9">
        <v>25549819</v>
      </c>
      <c r="E159" s="9">
        <v>120540</v>
      </c>
      <c r="F159" s="6" t="s">
        <v>1065</v>
      </c>
      <c r="G159" s="6" cm="1">
        <f t="array" ref="G15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9" s="6" t="str">
        <f>IF(COUNTIFS(TripTable[Country],CountryTable[[#This Row],[Common Name]])=0,"",TEXT(_xlfn.MINIFS(TripTable[Date],TripTable[Country],CountryTable[[#This Row],[Common Name]]),"MMM JJJJ"))</f>
        <v/>
      </c>
      <c r="I159" s="6" t="str">
        <f>IF(COUNTIFS(TripTable[Country],CountryTable[[#This Row],[Common Name]])=0,"",TEXT(_xlfn.MAXIFS(TripTable[Date],TripTable[Country],CountryTable[[#This Row],[Common Name]]),"MMM JJJJ"))</f>
        <v/>
      </c>
      <c r="J159" s="8" t="s">
        <v>1283</v>
      </c>
      <c r="K159" s="6" t="e" vm="158">
        <f t="shared" si="4"/>
        <v>#VALUE!</v>
      </c>
    </row>
    <row r="160" spans="1:11" ht="39" customHeight="1" x14ac:dyDescent="0.2">
      <c r="A160" s="5" t="s">
        <v>751</v>
      </c>
      <c r="B160" s="6" t="s">
        <v>781</v>
      </c>
      <c r="C160" s="10" t="s">
        <v>782</v>
      </c>
      <c r="D160" s="9">
        <v>2082958</v>
      </c>
      <c r="E160" s="9">
        <v>25333</v>
      </c>
      <c r="F160" s="6" t="s">
        <v>1080</v>
      </c>
      <c r="G160" s="6" cm="1">
        <f t="array" ref="G16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0" s="6" t="str">
        <f>IF(COUNTIFS(TripTable[Country],CountryTable[[#This Row],[Common Name]])=0,"",TEXT(_xlfn.MINIFS(TripTable[Date],TripTable[Country],CountryTable[[#This Row],[Common Name]]),"MMM JJJJ"))</f>
        <v/>
      </c>
      <c r="I160" s="6" t="str">
        <f>IF(COUNTIFS(TripTable[Country],CountryTable[[#This Row],[Common Name]])=0,"",TEXT(_xlfn.MAXIFS(TripTable[Date],TripTable[Country],CountryTable[[#This Row],[Common Name]]),"MMM JJJJ"))</f>
        <v/>
      </c>
      <c r="J160" s="8" t="s">
        <v>1284</v>
      </c>
      <c r="K160" s="6" t="e" vm="159">
        <f t="shared" si="4"/>
        <v>#VALUE!</v>
      </c>
    </row>
    <row r="161" spans="1:11" ht="39" customHeight="1" x14ac:dyDescent="0.2">
      <c r="A161" s="5" t="s">
        <v>185</v>
      </c>
      <c r="B161" s="7" t="s">
        <v>34</v>
      </c>
      <c r="C161" s="10" t="s">
        <v>328</v>
      </c>
      <c r="D161" s="9">
        <v>382836</v>
      </c>
      <c r="E161" s="9">
        <v>3355</v>
      </c>
      <c r="F161" s="6" t="s">
        <v>329</v>
      </c>
      <c r="G161" s="6" cm="1">
        <f t="array" ref="G16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1" s="6" t="str">
        <f>IF(COUNTIFS(TripTable[Country],CountryTable[[#This Row],[Common Name]])=0,"",TEXT(_xlfn.MINIFS(TripTable[Date],TripTable[Country],CountryTable[[#This Row],[Common Name]]),"MMM JJJJ"))</f>
        <v/>
      </c>
      <c r="I161" s="6" t="str">
        <f>IF(COUNTIFS(TripTable[Country],CountryTable[[#This Row],[Common Name]])=0,"",TEXT(_xlfn.MAXIFS(TripTable[Date],TripTable[Country],CountryTable[[#This Row],[Common Name]]),"MMM JJJJ"))</f>
        <v/>
      </c>
      <c r="J161" s="8" t="s">
        <v>240</v>
      </c>
      <c r="K161" s="6" t="e" vm="160">
        <f>_xlfn.IMAGE("https://upload.wikimedia.org/wikipedia/commons/thumb/1/1e/Flag_of_the_Turkish_Republic_of_Northern_Cyprus.svg/1280px-Flag_of_the_Turkish_Republic_of_Northern_Cyprus.svg.png", "Flag of " &amp; A161,0)</f>
        <v>#VALUE!</v>
      </c>
    </row>
    <row r="162" spans="1:11" ht="39" customHeight="1" x14ac:dyDescent="0.2">
      <c r="A162" s="5" t="s">
        <v>988</v>
      </c>
      <c r="B162" s="6" t="s">
        <v>996</v>
      </c>
      <c r="C162" s="10" t="s">
        <v>997</v>
      </c>
      <c r="D162" s="9">
        <v>56882</v>
      </c>
      <c r="E162" s="9">
        <v>477</v>
      </c>
      <c r="F162" s="6" t="s">
        <v>1084</v>
      </c>
      <c r="G162" s="6" cm="1">
        <f t="array" ref="G16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2" s="6" t="str">
        <f>IF(COUNTIFS(TripTable[Country],CountryTable[[#This Row],[Common Name]])=0,"",TEXT(_xlfn.MINIFS(TripTable[Date],TripTable[Country],CountryTable[[#This Row],[Common Name]]),"MMM JJJJ"))</f>
        <v/>
      </c>
      <c r="I162" s="6" t="str">
        <f>IF(COUNTIFS(TripTable[Country],CountryTable[[#This Row],[Common Name]])=0,"",TEXT(_xlfn.MAXIFS(TripTable[Date],TripTable[Country],CountryTable[[#This Row],[Common Name]]),"MMM JJJJ"))</f>
        <v/>
      </c>
      <c r="J162" s="8" t="s">
        <v>1285</v>
      </c>
      <c r="K162" s="6" t="e" vm="161">
        <f t="shared" ref="K162:K193" si="5">_xlfn.IMAGE("https://flagsapi.com/" &amp; A162 &amp; "/flat/64.png", "Flag of " &amp; A162,0)</f>
        <v>#VALUE!</v>
      </c>
    </row>
    <row r="163" spans="1:11" ht="39" customHeight="1" x14ac:dyDescent="0.2">
      <c r="A163" s="5" t="s">
        <v>126</v>
      </c>
      <c r="B163" s="6" t="s">
        <v>35</v>
      </c>
      <c r="C163" s="10" t="s">
        <v>287</v>
      </c>
      <c r="D163" s="9">
        <v>5314336</v>
      </c>
      <c r="E163" s="9">
        <v>324220</v>
      </c>
      <c r="F163" s="6" t="s">
        <v>127</v>
      </c>
      <c r="G163" s="6" cm="1">
        <f t="array" ref="G16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3" s="6" t="str">
        <f>IF(COUNTIFS(TripTable[Country],CountryTable[[#This Row],[Common Name]])=0,"",TEXT(_xlfn.MINIFS(TripTable[Date],TripTable[Country],CountryTable[[#This Row],[Common Name]]),"MMM JJJJ"))</f>
        <v/>
      </c>
      <c r="I163" s="6" t="str">
        <f>IF(COUNTIFS(TripTable[Country],CountryTable[[#This Row],[Common Name]])=0,"",TEXT(_xlfn.MAXIFS(TripTable[Date],TripTable[Country],CountryTable[[#This Row],[Common Name]]),"MMM JJJJ"))</f>
        <v/>
      </c>
      <c r="J163" s="8" t="s">
        <v>217</v>
      </c>
      <c r="K163" s="6" t="e" vm="162">
        <f t="shared" si="5"/>
        <v>#VALUE!</v>
      </c>
    </row>
    <row r="164" spans="1:11" ht="39" customHeight="1" x14ac:dyDescent="0.2">
      <c r="A164" s="5" t="s">
        <v>822</v>
      </c>
      <c r="B164" s="6" t="s">
        <v>837</v>
      </c>
      <c r="C164" s="10" t="s">
        <v>838</v>
      </c>
      <c r="D164" s="9">
        <v>4829483</v>
      </c>
      <c r="E164" s="9">
        <v>212460</v>
      </c>
      <c r="F164" s="6" t="s">
        <v>1100</v>
      </c>
      <c r="G164" s="6" cm="1">
        <f t="array" ref="G16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4" s="6" t="str">
        <f>IF(COUNTIFS(TripTable[Country],CountryTable[[#This Row],[Common Name]])=0,"",TEXT(_xlfn.MINIFS(TripTable[Date],TripTable[Country],CountryTable[[#This Row],[Common Name]]),"MMM JJJJ"))</f>
        <v/>
      </c>
      <c r="I164" s="6" t="str">
        <f>IF(COUNTIFS(TripTable[Country],CountryTable[[#This Row],[Common Name]])=0,"",TEXT(_xlfn.MAXIFS(TripTable[Date],TripTable[Country],CountryTable[[#This Row],[Common Name]]),"MMM JJJJ"))</f>
        <v/>
      </c>
      <c r="J164" s="8" t="s">
        <v>1286</v>
      </c>
      <c r="K164" s="6" t="e" vm="163">
        <f t="shared" si="5"/>
        <v>#VALUE!</v>
      </c>
    </row>
    <row r="165" spans="1:11" ht="39" customHeight="1" x14ac:dyDescent="0.2">
      <c r="A165" s="5" t="s">
        <v>826</v>
      </c>
      <c r="B165" s="6" t="s">
        <v>844</v>
      </c>
      <c r="C165" s="10" t="s">
        <v>845</v>
      </c>
      <c r="D165" s="9">
        <v>212215030</v>
      </c>
      <c r="E165" s="9">
        <v>803940</v>
      </c>
      <c r="F165" s="6" t="s">
        <v>1104</v>
      </c>
      <c r="G165" s="6" cm="1">
        <f t="array" ref="G16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5" s="6" t="str">
        <f>IF(COUNTIFS(TripTable[Country],CountryTable[[#This Row],[Common Name]])=0,"",TEXT(_xlfn.MINIFS(TripTable[Date],TripTable[Country],CountryTable[[#This Row],[Common Name]]),"MMM JJJJ"))</f>
        <v/>
      </c>
      <c r="I165" s="6" t="str">
        <f>IF(COUNTIFS(TripTable[Country],CountryTable[[#This Row],[Common Name]])=0,"",TEXT(_xlfn.MAXIFS(TripTable[Date],TripTable[Country],CountryTable[[#This Row],[Common Name]]),"MMM JJJJ"))</f>
        <v/>
      </c>
      <c r="J165" s="8" t="s">
        <v>1287</v>
      </c>
      <c r="K165" s="6" t="e" vm="164">
        <f t="shared" si="5"/>
        <v>#VALUE!</v>
      </c>
    </row>
    <row r="166" spans="1:11" ht="39" customHeight="1" x14ac:dyDescent="0.2">
      <c r="A166" s="5" t="s">
        <v>830</v>
      </c>
      <c r="B166" s="6" t="s">
        <v>852</v>
      </c>
      <c r="C166" s="10" t="s">
        <v>853</v>
      </c>
      <c r="D166" s="9">
        <v>17907</v>
      </c>
      <c r="E166" s="9">
        <v>458</v>
      </c>
      <c r="F166" s="6" t="s">
        <v>1108</v>
      </c>
      <c r="G166" s="6" cm="1">
        <f t="array" ref="G16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6" s="6" t="str">
        <f>IF(COUNTIFS(TripTable[Country],CountryTable[[#This Row],[Common Name]])=0,"",TEXT(_xlfn.MINIFS(TripTable[Date],TripTable[Country],CountryTable[[#This Row],[Common Name]]),"MMM JJJJ"))</f>
        <v/>
      </c>
      <c r="I166" s="6" t="str">
        <f>IF(COUNTIFS(TripTable[Country],CountryTable[[#This Row],[Common Name]])=0,"",TEXT(_xlfn.MAXIFS(TripTable[Date],TripTable[Country],CountryTable[[#This Row],[Common Name]]),"MMM JJJJ"))</f>
        <v/>
      </c>
      <c r="J166" s="8" t="s">
        <v>1288</v>
      </c>
      <c r="K166" s="6" t="e" vm="165">
        <f t="shared" si="5"/>
        <v>#VALUE!</v>
      </c>
    </row>
    <row r="167" spans="1:11" ht="39" customHeight="1" x14ac:dyDescent="0.2">
      <c r="A167" s="5" t="s">
        <v>829</v>
      </c>
      <c r="B167" s="6" t="s">
        <v>850</v>
      </c>
      <c r="C167" s="10" t="s">
        <v>851</v>
      </c>
      <c r="D167" s="9">
        <v>4569087</v>
      </c>
      <c r="E167" s="9">
        <v>5970</v>
      </c>
      <c r="F167" s="7" t="s">
        <v>1155</v>
      </c>
      <c r="G167" s="6" cm="1">
        <f t="array" ref="G16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7" s="6" t="str">
        <f>IF(COUNTIFS(TripTable[Country],CountryTable[[#This Row],[Common Name]])=0,"",TEXT(_xlfn.MINIFS(TripTable[Date],TripTable[Country],CountryTable[[#This Row],[Common Name]]),"MMM JJJJ"))</f>
        <v/>
      </c>
      <c r="I167" s="6" t="str">
        <f>IF(COUNTIFS(TripTable[Country],CountryTable[[#This Row],[Common Name]])=0,"",TEXT(_xlfn.MAXIFS(TripTable[Date],TripTable[Country],CountryTable[[#This Row],[Common Name]]),"MMM JJJJ"))</f>
        <v/>
      </c>
      <c r="J167" s="8" t="s">
        <v>1289</v>
      </c>
      <c r="K167" s="6" t="e" vm="166">
        <f t="shared" si="5"/>
        <v>#VALUE!</v>
      </c>
    </row>
    <row r="168" spans="1:11" ht="39" customHeight="1" x14ac:dyDescent="0.2">
      <c r="A168" s="5" t="s">
        <v>175</v>
      </c>
      <c r="B168" s="6" t="s">
        <v>36</v>
      </c>
      <c r="C168" s="10" t="s">
        <v>288</v>
      </c>
      <c r="D168" s="9">
        <v>4176873</v>
      </c>
      <c r="E168" s="9">
        <v>78200</v>
      </c>
      <c r="F168" s="6" t="s">
        <v>174</v>
      </c>
      <c r="G168" s="6" cm="1">
        <f t="array" ref="G16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8" s="6" t="str">
        <f>IF(COUNTIFS(TripTable[Country],CountryTable[[#This Row],[Common Name]])=0,"",TEXT(_xlfn.MINIFS(TripTable[Date],TripTable[Country],CountryTable[[#This Row],[Common Name]]),"MMM JJJJ"))</f>
        <v/>
      </c>
      <c r="I168" s="6" t="str">
        <f>IF(COUNTIFS(TripTable[Country],CountryTable[[#This Row],[Common Name]])=0,"",TEXT(_xlfn.MAXIFS(TripTable[Date],TripTable[Country],CountryTable[[#This Row],[Common Name]]),"MMM JJJJ"))</f>
        <v/>
      </c>
      <c r="J168" s="8" t="s">
        <v>218</v>
      </c>
      <c r="K168" s="6" t="e" vm="167">
        <f t="shared" si="5"/>
        <v>#VALUE!</v>
      </c>
    </row>
    <row r="169" spans="1:11" ht="39" customHeight="1" x14ac:dyDescent="0.2">
      <c r="A169" s="5" t="s">
        <v>825</v>
      </c>
      <c r="B169" s="6" t="s">
        <v>842</v>
      </c>
      <c r="C169" s="10" t="s">
        <v>843</v>
      </c>
      <c r="D169" s="9">
        <v>8606316</v>
      </c>
      <c r="E169" s="9">
        <v>462840</v>
      </c>
      <c r="F169" s="6" t="s">
        <v>1103</v>
      </c>
      <c r="G169" s="6" cm="1">
        <f t="array" ref="G16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9" s="6" t="str">
        <f>IF(COUNTIFS(TripTable[Country],CountryTable[[#This Row],[Common Name]])=0,"",TEXT(_xlfn.MINIFS(TripTable[Date],TripTable[Country],CountryTable[[#This Row],[Common Name]]),"MMM JJJJ"))</f>
        <v/>
      </c>
      <c r="I169" s="6" t="str">
        <f>IF(COUNTIFS(TripTable[Country],CountryTable[[#This Row],[Common Name]])=0,"",TEXT(_xlfn.MAXIFS(TripTable[Date],TripTable[Country],CountryTable[[#This Row],[Common Name]]),"MMM JJJJ"))</f>
        <v/>
      </c>
      <c r="J169" s="8" t="s">
        <v>1290</v>
      </c>
      <c r="K169" s="6" t="e" vm="168">
        <f t="shared" si="5"/>
        <v>#VALUE!</v>
      </c>
    </row>
    <row r="170" spans="1:11" ht="39" customHeight="1" x14ac:dyDescent="0.2">
      <c r="A170" s="5" t="s">
        <v>831</v>
      </c>
      <c r="B170" s="6" t="s">
        <v>854</v>
      </c>
      <c r="C170" s="10" t="s">
        <v>855</v>
      </c>
      <c r="D170" s="9">
        <v>6956071</v>
      </c>
      <c r="E170" s="9">
        <v>406750</v>
      </c>
      <c r="F170" s="6" t="s">
        <v>1109</v>
      </c>
      <c r="G170" s="6" cm="1">
        <f t="array" ref="G17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0" s="6" t="str">
        <f>IF(COUNTIFS(TripTable[Country],CountryTable[[#This Row],[Common Name]])=0,"",TEXT(_xlfn.MINIFS(TripTable[Date],TripTable[Country],CountryTable[[#This Row],[Common Name]]),"MMM JJJJ"))</f>
        <v/>
      </c>
      <c r="I170" s="6" t="str">
        <f>IF(COUNTIFS(TripTable[Country],CountryTable[[#This Row],[Common Name]])=0,"",TEXT(_xlfn.MAXIFS(TripTable[Date],TripTable[Country],CountryTable[[#This Row],[Common Name]]),"MMM JJJJ"))</f>
        <v/>
      </c>
      <c r="J170" s="8" t="s">
        <v>1291</v>
      </c>
      <c r="K170" s="6" t="e" vm="169">
        <f t="shared" si="5"/>
        <v>#VALUE!</v>
      </c>
    </row>
    <row r="171" spans="1:11" ht="39" customHeight="1" x14ac:dyDescent="0.2">
      <c r="A171" s="5" t="s">
        <v>823</v>
      </c>
      <c r="B171" s="6" t="s">
        <v>839</v>
      </c>
      <c r="C171" s="10" t="s">
        <v>840</v>
      </c>
      <c r="D171" s="9">
        <v>31989256</v>
      </c>
      <c r="E171" s="9">
        <v>1285220</v>
      </c>
      <c r="F171" s="6" t="s">
        <v>1101</v>
      </c>
      <c r="G171" s="6" cm="1">
        <f t="array" ref="G17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1" s="6" t="str">
        <f>IF(COUNTIFS(TripTable[Country],CountryTable[[#This Row],[Common Name]])=0,"",TEXT(_xlfn.MINIFS(TripTable[Date],TripTable[Country],CountryTable[[#This Row],[Common Name]]),"MMM JJJJ"))</f>
        <v/>
      </c>
      <c r="I171" s="6" t="str">
        <f>IF(COUNTIFS(TripTable[Country],CountryTable[[#This Row],[Common Name]])=0,"",TEXT(_xlfn.MAXIFS(TripTable[Date],TripTable[Country],CountryTable[[#This Row],[Common Name]]),"MMM JJJJ"))</f>
        <v/>
      </c>
      <c r="J171" s="8" t="s">
        <v>1292</v>
      </c>
      <c r="K171" s="6" t="e" vm="170">
        <f t="shared" si="5"/>
        <v>#VALUE!</v>
      </c>
    </row>
    <row r="172" spans="1:11" ht="39" customHeight="1" x14ac:dyDescent="0.2">
      <c r="A172" s="5" t="s">
        <v>186</v>
      </c>
      <c r="B172" s="6" t="s">
        <v>37</v>
      </c>
      <c r="C172" s="10" t="s">
        <v>289</v>
      </c>
      <c r="D172" s="9">
        <v>106651922</v>
      </c>
      <c r="E172" s="9">
        <v>300000</v>
      </c>
      <c r="F172" s="6" t="s">
        <v>167</v>
      </c>
      <c r="G172" s="6" cm="1">
        <f t="array" ref="G17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2" s="6" t="str">
        <f>IF(COUNTIFS(TripTable[Country],CountryTable[[#This Row],[Common Name]])=0,"",TEXT(_xlfn.MINIFS(TripTable[Date],TripTable[Country],CountryTable[[#This Row],[Common Name]]),"MMM JJJJ"))</f>
        <v/>
      </c>
      <c r="I172" s="6" t="str">
        <f>IF(COUNTIFS(TripTable[Country],CountryTable[[#This Row],[Common Name]])=0,"",TEXT(_xlfn.MAXIFS(TripTable[Date],TripTable[Country],CountryTable[[#This Row],[Common Name]]),"MMM JJJJ"))</f>
        <v/>
      </c>
      <c r="J172" s="8" t="s">
        <v>219</v>
      </c>
      <c r="K172" s="6" t="e" vm="171">
        <f t="shared" si="5"/>
        <v>#VALUE!</v>
      </c>
    </row>
    <row r="173" spans="1:11" ht="39" customHeight="1" x14ac:dyDescent="0.2">
      <c r="A173" s="5" t="s">
        <v>827</v>
      </c>
      <c r="B173" s="6" t="s">
        <v>846</v>
      </c>
      <c r="C173" s="10" t="s">
        <v>847</v>
      </c>
      <c r="D173" s="9">
        <v>46</v>
      </c>
      <c r="E173" s="9">
        <v>47</v>
      </c>
      <c r="F173" s="6" t="s">
        <v>1106</v>
      </c>
      <c r="G173" s="6" cm="1">
        <f t="array" ref="G17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3" s="6" t="str">
        <f>IF(COUNTIFS(TripTable[Country],CountryTable[[#This Row],[Common Name]])=0,"",TEXT(_xlfn.MINIFS(TripTable[Date],TripTable[Country],CountryTable[[#This Row],[Common Name]]),"MMM JJJJ"))</f>
        <v/>
      </c>
      <c r="I173" s="6" t="str">
        <f>IF(COUNTIFS(TripTable[Country],CountryTable[[#This Row],[Common Name]])=0,"",TEXT(_xlfn.MAXIFS(TripTable[Date],TripTable[Country],CountryTable[[#This Row],[Common Name]]),"MMM JJJJ"))</f>
        <v/>
      </c>
      <c r="J173" s="8" t="s">
        <v>1293</v>
      </c>
      <c r="K173" s="6" t="e" vm="172">
        <f t="shared" si="5"/>
        <v>#VALUE!</v>
      </c>
    </row>
    <row r="174" spans="1:11" ht="39" customHeight="1" x14ac:dyDescent="0.2">
      <c r="A174" s="5" t="s">
        <v>128</v>
      </c>
      <c r="B174" s="6" t="s">
        <v>38</v>
      </c>
      <c r="C174" s="10" t="s">
        <v>290</v>
      </c>
      <c r="D174" s="9">
        <v>37978548</v>
      </c>
      <c r="E174" s="9">
        <v>312685</v>
      </c>
      <c r="F174" s="6" t="s">
        <v>69</v>
      </c>
      <c r="G174" s="6" cm="1">
        <f t="array" ref="G17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4" s="6" t="str">
        <f>IF(COUNTIFS(TripTable[Country],CountryTable[[#This Row],[Common Name]])=0,"",TEXT(_xlfn.MINIFS(TripTable[Date],TripTable[Country],CountryTable[[#This Row],[Common Name]]),"MMM JJJJ"))</f>
        <v/>
      </c>
      <c r="I174" s="6" t="str">
        <f>IF(COUNTIFS(TripTable[Country],CountryTable[[#This Row],[Common Name]])=0,"",TEXT(_xlfn.MAXIFS(TripTable[Date],TripTable[Country],CountryTable[[#This Row],[Common Name]]),"MMM JJJJ"))</f>
        <v/>
      </c>
      <c r="J174" s="8" t="s">
        <v>220</v>
      </c>
      <c r="K174" s="6" t="e" vm="173">
        <f t="shared" si="5"/>
        <v>#VALUE!</v>
      </c>
    </row>
    <row r="175" spans="1:11" ht="39" customHeight="1" x14ac:dyDescent="0.2">
      <c r="A175" s="5" t="s">
        <v>129</v>
      </c>
      <c r="B175" s="6" t="s">
        <v>39</v>
      </c>
      <c r="C175" s="10" t="s">
        <v>291</v>
      </c>
      <c r="D175" s="9">
        <v>10281762</v>
      </c>
      <c r="E175" s="9">
        <v>92391</v>
      </c>
      <c r="F175" s="6" t="s">
        <v>130</v>
      </c>
      <c r="G175" s="6" cm="1">
        <f t="array" ref="G17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5" s="6" t="str">
        <f>IF(COUNTIFS(TripTable[Country],CountryTable[[#This Row],[Common Name]])=0,"",TEXT(_xlfn.MINIFS(TripTable[Date],TripTable[Country],CountryTable[[#This Row],[Common Name]]),"MMM JJJJ"))</f>
        <v/>
      </c>
      <c r="I175" s="6" t="str">
        <f>IF(COUNTIFS(TripTable[Country],CountryTable[[#This Row],[Common Name]])=0,"",TEXT(_xlfn.MAXIFS(TripTable[Date],TripTable[Country],CountryTable[[#This Row],[Common Name]]),"MMM JJJJ"))</f>
        <v/>
      </c>
      <c r="J175" s="8" t="s">
        <v>221</v>
      </c>
      <c r="K175" s="6" t="e" vm="174">
        <f t="shared" si="5"/>
        <v>#VALUE!</v>
      </c>
    </row>
    <row r="176" spans="1:11" ht="39" customHeight="1" x14ac:dyDescent="0.2">
      <c r="A176" s="5" t="s">
        <v>828</v>
      </c>
      <c r="B176" s="6" t="s">
        <v>848</v>
      </c>
      <c r="C176" s="10" t="s">
        <v>849</v>
      </c>
      <c r="D176" s="9">
        <v>3195153</v>
      </c>
      <c r="E176" s="9">
        <v>9104</v>
      </c>
      <c r="F176" s="6" t="s">
        <v>1107</v>
      </c>
      <c r="G176" s="6" cm="1">
        <f t="array" ref="G17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6" s="6" t="str">
        <f>IF(COUNTIFS(TripTable[Country],CountryTable[[#This Row],[Common Name]])=0,"",TEXT(_xlfn.MINIFS(TripTable[Date],TripTable[Country],CountryTable[[#This Row],[Common Name]]),"MMM JJJJ"))</f>
        <v/>
      </c>
      <c r="I176" s="6" t="str">
        <f>IF(COUNTIFS(TripTable[Country],CountryTable[[#This Row],[Common Name]])=0,"",TEXT(_xlfn.MAXIFS(TripTable[Date],TripTable[Country],CountryTable[[#This Row],[Common Name]]),"MMM JJJJ"))</f>
        <v/>
      </c>
      <c r="J176" s="8" t="s">
        <v>1294</v>
      </c>
      <c r="K176" s="6" t="e" vm="175">
        <f t="shared" si="5"/>
        <v>#VALUE!</v>
      </c>
    </row>
    <row r="177" spans="1:11" ht="39" customHeight="1" x14ac:dyDescent="0.2">
      <c r="A177" s="5" t="s">
        <v>832</v>
      </c>
      <c r="B177" s="6" t="s">
        <v>856</v>
      </c>
      <c r="C177" s="10" t="s">
        <v>857</v>
      </c>
      <c r="D177" s="9">
        <v>2781677</v>
      </c>
      <c r="E177" s="9">
        <v>11437</v>
      </c>
      <c r="F177" s="6" t="s">
        <v>1110</v>
      </c>
      <c r="G177" s="6" cm="1">
        <f t="array" ref="G17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7" s="6" t="str">
        <f>IF(COUNTIFS(TripTable[Country],CountryTable[[#This Row],[Common Name]])=0,"",TEXT(_xlfn.MINIFS(TripTable[Date],TripTable[Country],CountryTable[[#This Row],[Common Name]]),"MMM JJJJ"))</f>
        <v/>
      </c>
      <c r="I177" s="6" t="str">
        <f>IF(COUNTIFS(TripTable[Country],CountryTable[[#This Row],[Common Name]])=0,"",TEXT(_xlfn.MAXIFS(TripTable[Date],TripTable[Country],CountryTable[[#This Row],[Common Name]]),"MMM JJJJ"))</f>
        <v/>
      </c>
      <c r="J177" s="8" t="s">
        <v>1295</v>
      </c>
      <c r="K177" s="6" t="e" vm="176">
        <f t="shared" si="5"/>
        <v>#VALUE!</v>
      </c>
    </row>
    <row r="178" spans="1:11" ht="39" customHeight="1" x14ac:dyDescent="0.2">
      <c r="A178" s="5" t="s">
        <v>834</v>
      </c>
      <c r="B178" s="6" t="s">
        <v>859</v>
      </c>
      <c r="C178" s="10" t="s">
        <v>860</v>
      </c>
      <c r="D178" s="9">
        <v>776948</v>
      </c>
      <c r="E178" s="9">
        <v>2517</v>
      </c>
      <c r="F178" s="6" t="s">
        <v>1111</v>
      </c>
      <c r="G178" s="6" cm="1">
        <f t="array" ref="G17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8" s="6" t="str">
        <f>IF(COUNTIFS(TripTable[Country],CountryTable[[#This Row],[Common Name]])=0,"",TEXT(_xlfn.MINIFS(TripTable[Date],TripTable[Country],CountryTable[[#This Row],[Common Name]]),"MMM JJJJ"))</f>
        <v/>
      </c>
      <c r="I178" s="6" t="str">
        <f>IF(COUNTIFS(TripTable[Country],CountryTable[[#This Row],[Common Name]])=0,"",TEXT(_xlfn.MAXIFS(TripTable[Date],TripTable[Country],CountryTable[[#This Row],[Common Name]]),"MMM JJJJ"))</f>
        <v/>
      </c>
      <c r="J178" s="8" t="s">
        <v>1296</v>
      </c>
      <c r="K178" s="6" t="e" vm="177">
        <f t="shared" si="5"/>
        <v>#VALUE!</v>
      </c>
    </row>
    <row r="179" spans="1:11" ht="39" customHeight="1" x14ac:dyDescent="0.2">
      <c r="A179" s="5" t="s">
        <v>131</v>
      </c>
      <c r="B179" s="6" t="s">
        <v>40</v>
      </c>
      <c r="C179" s="10" t="s">
        <v>40</v>
      </c>
      <c r="D179" s="9">
        <v>19473936</v>
      </c>
      <c r="E179" s="9">
        <v>237500</v>
      </c>
      <c r="F179" s="6" t="s">
        <v>132</v>
      </c>
      <c r="G179" s="6" cm="1">
        <f t="array" ref="G17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9" s="6" t="str">
        <f>IF(COUNTIFS(TripTable[Country],CountryTable[[#This Row],[Common Name]])=0,"",TEXT(_xlfn.MINIFS(TripTable[Date],TripTable[Country],CountryTable[[#This Row],[Common Name]]),"MMM JJJJ"))</f>
        <v/>
      </c>
      <c r="I179" s="6" t="str">
        <f>IF(COUNTIFS(TripTable[Country],CountryTable[[#This Row],[Common Name]])=0,"",TEXT(_xlfn.MAXIFS(TripTable[Date],TripTable[Country],CountryTable[[#This Row],[Common Name]]),"MMM JJJJ"))</f>
        <v/>
      </c>
      <c r="J179" s="8" t="s">
        <v>222</v>
      </c>
      <c r="K179" s="6" t="e" vm="178">
        <f t="shared" si="5"/>
        <v>#VALUE!</v>
      </c>
    </row>
    <row r="180" spans="1:11" ht="39" customHeight="1" x14ac:dyDescent="0.2">
      <c r="A180" s="5" t="s">
        <v>133</v>
      </c>
      <c r="B180" s="6" t="s">
        <v>41</v>
      </c>
      <c r="C180" s="10" t="s">
        <v>292</v>
      </c>
      <c r="D180" s="9">
        <v>144478050</v>
      </c>
      <c r="E180" s="9">
        <v>17100000</v>
      </c>
      <c r="F180" s="6" t="s">
        <v>68</v>
      </c>
      <c r="G180" s="6" cm="1">
        <f t="array" ref="G18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0" s="6" t="str">
        <f>IF(COUNTIFS(TripTable[Country],CountryTable[[#This Row],[Common Name]])=0,"",TEXT(_xlfn.MINIFS(TripTable[Date],TripTable[Country],CountryTable[[#This Row],[Common Name]]),"MMM JJJJ"))</f>
        <v/>
      </c>
      <c r="I180" s="6" t="str">
        <f>IF(COUNTIFS(TripTable[Country],CountryTable[[#This Row],[Common Name]])=0,"",TEXT(_xlfn.MAXIFS(TripTable[Date],TripTable[Country],CountryTable[[#This Row],[Common Name]]),"MMM JJJJ"))</f>
        <v/>
      </c>
      <c r="J180" s="8" t="s">
        <v>223</v>
      </c>
      <c r="K180" s="6" t="e" vm="179">
        <f t="shared" si="5"/>
        <v>#VALUE!</v>
      </c>
    </row>
    <row r="181" spans="1:11" ht="39" customHeight="1" x14ac:dyDescent="0.2">
      <c r="A181" s="5" t="s">
        <v>835</v>
      </c>
      <c r="B181" s="6" t="s">
        <v>861</v>
      </c>
      <c r="C181" s="10" t="s">
        <v>862</v>
      </c>
      <c r="D181" s="9">
        <v>12301939</v>
      </c>
      <c r="E181" s="9">
        <v>26338</v>
      </c>
      <c r="F181" s="6" t="s">
        <v>1112</v>
      </c>
      <c r="G181" s="6" cm="1">
        <f t="array" ref="G18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1" s="6" t="str">
        <f>IF(COUNTIFS(TripTable[Country],CountryTable[[#This Row],[Common Name]])=0,"",TEXT(_xlfn.MINIFS(TripTable[Date],TripTable[Country],CountryTable[[#This Row],[Common Name]]),"MMM JJJJ"))</f>
        <v/>
      </c>
      <c r="I181" s="6" t="str">
        <f>IF(COUNTIFS(TripTable[Country],CountryTable[[#This Row],[Common Name]])=0,"",TEXT(_xlfn.MAXIFS(TripTable[Date],TripTable[Country],CountryTable[[#This Row],[Common Name]]),"MMM JJJJ"))</f>
        <v/>
      </c>
      <c r="J181" s="8" t="s">
        <v>1297</v>
      </c>
      <c r="K181" s="6" t="e" vm="180">
        <f t="shared" si="5"/>
        <v>#VALUE!</v>
      </c>
    </row>
    <row r="182" spans="1:11" ht="39" customHeight="1" x14ac:dyDescent="0.2">
      <c r="A182" s="5" t="s">
        <v>992</v>
      </c>
      <c r="B182" s="6" t="s">
        <v>1003</v>
      </c>
      <c r="C182" s="10" t="s">
        <v>1004</v>
      </c>
      <c r="D182" s="9">
        <v>8450</v>
      </c>
      <c r="E182" s="9">
        <v>21</v>
      </c>
      <c r="F182" s="6" t="s">
        <v>1011</v>
      </c>
      <c r="G182" s="6" cm="1">
        <f t="array" ref="G18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2" s="6" t="str">
        <f>IF(COUNTIFS(TripTable[Country],CountryTable[[#This Row],[Common Name]])=0,"",TEXT(_xlfn.MINIFS(TripTable[Date],TripTable[Country],CountryTable[[#This Row],[Common Name]]),"MMM JJJJ"))</f>
        <v/>
      </c>
      <c r="I182" s="6" t="str">
        <f>IF(COUNTIFS(TripTable[Country],CountryTable[[#This Row],[Common Name]])=0,"",TEXT(_xlfn.MAXIFS(TripTable[Date],TripTable[Country],CountryTable[[#This Row],[Common Name]]),"MMM JJJJ"))</f>
        <v/>
      </c>
      <c r="J182" s="8" t="s">
        <v>1298</v>
      </c>
      <c r="K182" s="6" t="e" vm="181">
        <f>_xlfn.IMAGE("https://thumb.wikimedia.org/wikipedia/commons/thumb/b/b4/Flag_of_Saint_Barth%C3%A9lemy_%28local%29.svg/1280px-Flag_of_Saint_Barth%C3%A9lemy_%28local%29.svg.png", "Flag of " &amp; A182,0)</f>
        <v>#VALUE!</v>
      </c>
    </row>
    <row r="183" spans="1:11" ht="39" customHeight="1" x14ac:dyDescent="0.2">
      <c r="A183" s="5" t="s">
        <v>867</v>
      </c>
      <c r="B183" s="6" t="s">
        <v>886</v>
      </c>
      <c r="C183" s="10" t="s">
        <v>886</v>
      </c>
      <c r="D183" s="9">
        <v>7460</v>
      </c>
      <c r="E183" s="9">
        <v>410</v>
      </c>
      <c r="F183" s="6" t="s">
        <v>1116</v>
      </c>
      <c r="G183" s="6" cm="1">
        <f t="array" ref="G18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3" s="6" t="str">
        <f>IF(COUNTIFS(TripTable[Country],CountryTable[[#This Row],[Common Name]])=0,"",TEXT(_xlfn.MINIFS(TripTable[Date],TripTable[Country],CountryTable[[#This Row],[Common Name]]),"MMM JJJJ"))</f>
        <v/>
      </c>
      <c r="I183" s="6" t="str">
        <f>IF(COUNTIFS(TripTable[Country],CountryTable[[#This Row],[Common Name]])=0,"",TEXT(_xlfn.MAXIFS(TripTable[Date],TripTable[Country],CountryTable[[#This Row],[Common Name]]),"MMM JJJJ"))</f>
        <v/>
      </c>
      <c r="J183" s="8" t="s">
        <v>1299</v>
      </c>
      <c r="K183" s="6" t="e" vm="182">
        <f t="shared" si="5"/>
        <v>#VALUE!</v>
      </c>
    </row>
    <row r="184" spans="1:11" ht="39" customHeight="1" x14ac:dyDescent="0.2">
      <c r="A184" s="5" t="s">
        <v>703</v>
      </c>
      <c r="B184" s="6" t="s">
        <v>730</v>
      </c>
      <c r="C184" s="10" t="s">
        <v>731</v>
      </c>
      <c r="D184" s="9">
        <v>52441</v>
      </c>
      <c r="E184" s="9">
        <v>261</v>
      </c>
      <c r="F184" s="6" t="s">
        <v>1064</v>
      </c>
      <c r="G184" s="6" cm="1">
        <f t="array" ref="G18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4" s="6" t="str">
        <f>IF(COUNTIFS(TripTable[Country],CountryTable[[#This Row],[Common Name]])=0,"",TEXT(_xlfn.MINIFS(TripTable[Date],TripTable[Country],CountryTable[[#This Row],[Common Name]]),"MMM JJJJ"))</f>
        <v/>
      </c>
      <c r="I184" s="6" t="str">
        <f>IF(COUNTIFS(TripTable[Country],CountryTable[[#This Row],[Common Name]])=0,"",TEXT(_xlfn.MAXIFS(TripTable[Date],TripTable[Country],CountryTable[[#This Row],[Common Name]]),"MMM JJJJ"))</f>
        <v/>
      </c>
      <c r="J184" s="8" t="s">
        <v>1300</v>
      </c>
      <c r="K184" s="6" t="e" vm="183">
        <f t="shared" si="5"/>
        <v>#VALUE!</v>
      </c>
    </row>
    <row r="185" spans="1:11" ht="39" customHeight="1" x14ac:dyDescent="0.2">
      <c r="A185" s="5" t="s">
        <v>740</v>
      </c>
      <c r="B185" s="6" t="s">
        <v>761</v>
      </c>
      <c r="C185" s="10" t="s">
        <v>761</v>
      </c>
      <c r="D185" s="9">
        <v>181889</v>
      </c>
      <c r="E185" s="9">
        <v>616</v>
      </c>
      <c r="F185" s="6" t="s">
        <v>1070</v>
      </c>
      <c r="G185" s="6" cm="1">
        <f t="array" ref="G18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5" s="6" t="str">
        <f>IF(COUNTIFS(TripTable[Country],CountryTable[[#This Row],[Common Name]])=0,"",TEXT(_xlfn.MINIFS(TripTable[Date],TripTable[Country],CountryTable[[#This Row],[Common Name]]),"MMM JJJJ"))</f>
        <v/>
      </c>
      <c r="I185" s="6" t="str">
        <f>IF(COUNTIFS(TripTable[Country],CountryTable[[#This Row],[Common Name]])=0,"",TEXT(_xlfn.MAXIFS(TripTable[Date],TripTable[Country],CountryTable[[#This Row],[Common Name]]),"MMM JJJJ"))</f>
        <v/>
      </c>
      <c r="J185" s="8" t="s">
        <v>1301</v>
      </c>
      <c r="K185" s="6" t="e" vm="184">
        <f t="shared" si="5"/>
        <v>#VALUE!</v>
      </c>
    </row>
    <row r="186" spans="1:11" ht="39" customHeight="1" x14ac:dyDescent="0.2">
      <c r="A186" s="5" t="s">
        <v>748</v>
      </c>
      <c r="B186" s="6" t="s">
        <v>776</v>
      </c>
      <c r="C186" s="10" t="s">
        <v>776</v>
      </c>
      <c r="D186" s="9">
        <v>37264</v>
      </c>
      <c r="E186" s="9">
        <v>53</v>
      </c>
      <c r="F186" s="6" t="s">
        <v>1077</v>
      </c>
      <c r="G186" s="6" cm="1">
        <f t="array" ref="G18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6" s="6" t="str">
        <f>IF(COUNTIFS(TripTable[Country],CountryTable[[#This Row],[Common Name]])=0,"",TEXT(_xlfn.MINIFS(TripTable[Date],TripTable[Country],CountryTable[[#This Row],[Common Name]]),"MMM JJJJ"))</f>
        <v/>
      </c>
      <c r="I186" s="6" t="str">
        <f>IF(COUNTIFS(TripTable[Country],CountryTable[[#This Row],[Common Name]])=0,"",TEXT(_xlfn.MAXIFS(TripTable[Date],TripTable[Country],CountryTable[[#This Row],[Common Name]]),"MMM JJJJ"))</f>
        <v/>
      </c>
      <c r="J186" s="8" t="s">
        <v>1302</v>
      </c>
      <c r="K186" s="6" t="e" vm="185">
        <f t="shared" si="5"/>
        <v>#VALUE!</v>
      </c>
    </row>
    <row r="187" spans="1:11" ht="39" customHeight="1" x14ac:dyDescent="0.2">
      <c r="A187" s="5" t="s">
        <v>833</v>
      </c>
      <c r="B187" s="6" t="s">
        <v>858</v>
      </c>
      <c r="C187" s="10" t="s">
        <v>858</v>
      </c>
      <c r="D187" s="9">
        <v>7012</v>
      </c>
      <c r="E187" s="9">
        <v>242</v>
      </c>
      <c r="F187" s="6" t="s">
        <v>1105</v>
      </c>
      <c r="G187" s="6" cm="1">
        <f t="array" ref="G18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7" s="6" t="str">
        <f>IF(COUNTIFS(TripTable[Country],CountryTable[[#This Row],[Common Name]])=0,"",TEXT(_xlfn.MINIFS(TripTable[Date],TripTable[Country],CountryTable[[#This Row],[Common Name]]),"MMM JJJJ"))</f>
        <v/>
      </c>
      <c r="I187" s="6" t="str">
        <f>IF(COUNTIFS(TripTable[Country],CountryTable[[#This Row],[Common Name]])=0,"",TEXT(_xlfn.MAXIFS(TripTable[Date],TripTable[Country],CountryTable[[#This Row],[Common Name]]),"MMM JJJJ"))</f>
        <v/>
      </c>
      <c r="J187" s="8" t="s">
        <v>1303</v>
      </c>
      <c r="K187" s="6" t="e" vm="186">
        <f>_xlfn.IMAGE("https://thumb.wikimedia.org/wikipedia/commons/thumb/7/74/Flag_of_Saint-Pierre_and_Miquelon.svg/1280px-Flag_of_Saint-Pierre_and_Miquelon.svg.png", "Flag of " &amp; A187,0)</f>
        <v>#VALUE!</v>
      </c>
    </row>
    <row r="188" spans="1:11" ht="39" customHeight="1" x14ac:dyDescent="0.2">
      <c r="A188" s="5" t="s">
        <v>943</v>
      </c>
      <c r="B188" s="6" t="s">
        <v>959</v>
      </c>
      <c r="C188" s="10" t="s">
        <v>959</v>
      </c>
      <c r="D188" s="9">
        <v>110211</v>
      </c>
      <c r="E188" s="9">
        <v>389</v>
      </c>
      <c r="F188" s="6" t="s">
        <v>1143</v>
      </c>
      <c r="G188" s="6" cm="1">
        <f t="array" ref="G18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8" s="6" t="str">
        <f>IF(COUNTIFS(TripTable[Country],CountryTable[[#This Row],[Common Name]])=0,"",TEXT(_xlfn.MINIFS(TripTable[Date],TripTable[Country],CountryTable[[#This Row],[Common Name]]),"MMM JJJJ"))</f>
        <v/>
      </c>
      <c r="I188" s="6" t="str">
        <f>IF(COUNTIFS(TripTable[Country],CountryTable[[#This Row],[Common Name]])=0,"",TEXT(_xlfn.MAXIFS(TripTable[Date],TripTable[Country],CountryTable[[#This Row],[Common Name]]),"MMM JJJJ"))</f>
        <v/>
      </c>
      <c r="J188" s="8" t="s">
        <v>1304</v>
      </c>
      <c r="K188" s="6" t="e" vm="187">
        <f t="shared" si="5"/>
        <v>#VALUE!</v>
      </c>
    </row>
    <row r="189" spans="1:11" ht="39" customHeight="1" x14ac:dyDescent="0.2">
      <c r="A189" s="5" t="s">
        <v>949</v>
      </c>
      <c r="B189" s="6" t="s">
        <v>970</v>
      </c>
      <c r="C189" s="10" t="s">
        <v>971</v>
      </c>
      <c r="D189" s="9">
        <v>196130</v>
      </c>
      <c r="E189" s="9">
        <v>2944</v>
      </c>
      <c r="F189" s="6" t="s">
        <v>1149</v>
      </c>
      <c r="G189" s="6" cm="1">
        <f t="array" ref="G18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9" s="6" t="str">
        <f>IF(COUNTIFS(TripTable[Country],CountryTable[[#This Row],[Common Name]])=0,"",TEXT(_xlfn.MINIFS(TripTable[Date],TripTable[Country],CountryTable[[#This Row],[Common Name]]),"MMM JJJJ"))</f>
        <v/>
      </c>
      <c r="I189" s="6" t="str">
        <f>IF(COUNTIFS(TripTable[Country],CountryTable[[#This Row],[Common Name]])=0,"",TEXT(_xlfn.MAXIFS(TripTable[Date],TripTable[Country],CountryTable[[#This Row],[Common Name]]),"MMM JJJJ"))</f>
        <v/>
      </c>
      <c r="J189" s="8" t="s">
        <v>1305</v>
      </c>
      <c r="K189" s="6" t="e" vm="188">
        <f t="shared" si="5"/>
        <v>#VALUE!</v>
      </c>
    </row>
    <row r="190" spans="1:11" ht="39" customHeight="1" x14ac:dyDescent="0.2">
      <c r="A190" s="5" t="s">
        <v>134</v>
      </c>
      <c r="B190" s="6" t="s">
        <v>42</v>
      </c>
      <c r="C190" s="10" t="s">
        <v>293</v>
      </c>
      <c r="D190" s="9">
        <v>33785</v>
      </c>
      <c r="E190" s="9">
        <v>61.2</v>
      </c>
      <c r="F190" s="6" t="s">
        <v>42</v>
      </c>
      <c r="G190" s="6" cm="1">
        <f t="array" ref="G19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0" s="6" t="str">
        <f>IF(COUNTIFS(TripTable[Country],CountryTable[[#This Row],[Common Name]])=0,"",TEXT(_xlfn.MINIFS(TripTable[Date],TripTable[Country],CountryTable[[#This Row],[Common Name]]),"MMM JJJJ"))</f>
        <v/>
      </c>
      <c r="I190" s="6" t="str">
        <f>IF(COUNTIFS(TripTable[Country],CountryTable[[#This Row],[Common Name]])=0,"",TEXT(_xlfn.MAXIFS(TripTable[Date],TripTable[Country],CountryTable[[#This Row],[Common Name]]),"MMM JJJJ"))</f>
        <v/>
      </c>
      <c r="J190" s="8" t="s">
        <v>239</v>
      </c>
      <c r="K190" s="6" t="e" vm="189">
        <f t="shared" si="5"/>
        <v>#VALUE!</v>
      </c>
    </row>
    <row r="191" spans="1:11" ht="39" customHeight="1" x14ac:dyDescent="0.2">
      <c r="A191" s="5" t="s">
        <v>874</v>
      </c>
      <c r="B191" s="6" t="s">
        <v>899</v>
      </c>
      <c r="C191" s="10" t="s">
        <v>900</v>
      </c>
      <c r="D191" s="9">
        <v>197700</v>
      </c>
      <c r="E191" s="9">
        <v>1001</v>
      </c>
      <c r="F191" s="6" t="s">
        <v>1123</v>
      </c>
      <c r="G191" s="6" cm="1">
        <f t="array" ref="G19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1" s="6" t="str">
        <f>IF(COUNTIFS(TripTable[Country],CountryTable[[#This Row],[Common Name]])=0,"",TEXT(_xlfn.MINIFS(TripTable[Date],TripTable[Country],CountryTable[[#This Row],[Common Name]]),"MMM JJJJ"))</f>
        <v/>
      </c>
      <c r="I191" s="6" t="str">
        <f>IF(COUNTIFS(TripTable[Country],CountryTable[[#This Row],[Common Name]])=0,"",TEXT(_xlfn.MAXIFS(TripTable[Date],TripTable[Country],CountryTable[[#This Row],[Common Name]]),"MMM JJJJ"))</f>
        <v/>
      </c>
      <c r="J191" s="8" t="s">
        <v>1306</v>
      </c>
      <c r="K191" s="6" t="e" vm="190">
        <f t="shared" si="5"/>
        <v>#VALUE!</v>
      </c>
    </row>
    <row r="192" spans="1:11" ht="39" customHeight="1" x14ac:dyDescent="0.2">
      <c r="A192" s="5" t="s">
        <v>863</v>
      </c>
      <c r="B192" s="6" t="s">
        <v>879</v>
      </c>
      <c r="C192" s="10" t="s">
        <v>880</v>
      </c>
      <c r="D192" s="9">
        <v>33699947</v>
      </c>
      <c r="E192" s="9">
        <v>1960582</v>
      </c>
      <c r="F192" s="6" t="s">
        <v>1113</v>
      </c>
      <c r="G192" s="6" cm="1">
        <f t="array" ref="G19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2" s="6" t="str">
        <f>IF(COUNTIFS(TripTable[Country],CountryTable[[#This Row],[Common Name]])=0,"",TEXT(_xlfn.MINIFS(TripTable[Date],TripTable[Country],CountryTable[[#This Row],[Common Name]]),"MMM JJJJ"))</f>
        <v/>
      </c>
      <c r="I192" s="6" t="str">
        <f>IF(COUNTIFS(TripTable[Country],CountryTable[[#This Row],[Common Name]])=0,"",TEXT(_xlfn.MAXIFS(TripTable[Date],TripTable[Country],CountryTable[[#This Row],[Common Name]]),"MMM JJJJ"))</f>
        <v/>
      </c>
      <c r="J192" s="8" t="s">
        <v>1307</v>
      </c>
      <c r="K192" s="6" t="e" vm="191">
        <f t="shared" si="5"/>
        <v>#VALUE!</v>
      </c>
    </row>
    <row r="193" spans="1:11" ht="39" customHeight="1" x14ac:dyDescent="0.2">
      <c r="A193" s="5" t="s">
        <v>870</v>
      </c>
      <c r="B193" s="6" t="s">
        <v>891</v>
      </c>
      <c r="C193" s="10" t="s">
        <v>892</v>
      </c>
      <c r="D193" s="9">
        <v>15854360</v>
      </c>
      <c r="E193" s="9">
        <v>196190</v>
      </c>
      <c r="F193" s="6" t="s">
        <v>1119</v>
      </c>
      <c r="G193" s="6" cm="1">
        <f t="array" ref="G19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3" s="6" t="str">
        <f>IF(COUNTIFS(TripTable[Country],CountryTable[[#This Row],[Common Name]])=0,"",TEXT(_xlfn.MINIFS(TripTable[Date],TripTable[Country],CountryTable[[#This Row],[Common Name]]),"MMM JJJJ"))</f>
        <v/>
      </c>
      <c r="I193" s="6" t="str">
        <f>IF(COUNTIFS(TripTable[Country],CountryTable[[#This Row],[Common Name]])=0,"",TEXT(_xlfn.MAXIFS(TripTable[Date],TripTable[Country],CountryTable[[#This Row],[Common Name]]),"MMM JJJJ"))</f>
        <v/>
      </c>
      <c r="J193" s="8" t="s">
        <v>1308</v>
      </c>
      <c r="K193" s="6" t="e" vm="192">
        <f t="shared" si="5"/>
        <v>#VALUE!</v>
      </c>
    </row>
    <row r="194" spans="1:11" ht="39" customHeight="1" x14ac:dyDescent="0.2">
      <c r="A194" s="5" t="s">
        <v>135</v>
      </c>
      <c r="B194" s="6" t="s">
        <v>43</v>
      </c>
      <c r="C194" s="10" t="s">
        <v>294</v>
      </c>
      <c r="D194" s="9">
        <v>6982084</v>
      </c>
      <c r="E194" s="9">
        <v>88361</v>
      </c>
      <c r="F194" s="6" t="s">
        <v>136</v>
      </c>
      <c r="G194" s="6" cm="1">
        <f t="array" ref="G19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4" s="6" t="str">
        <f>IF(COUNTIFS(TripTable[Country],CountryTable[[#This Row],[Common Name]])=0,"",TEXT(_xlfn.MINIFS(TripTable[Date],TripTable[Country],CountryTable[[#This Row],[Common Name]]),"MMM JJJJ"))</f>
        <v/>
      </c>
      <c r="I194" s="6" t="str">
        <f>IF(COUNTIFS(TripTable[Country],CountryTable[[#This Row],[Common Name]])=0,"",TEXT(_xlfn.MAXIFS(TripTable[Date],TripTable[Country],CountryTable[[#This Row],[Common Name]]),"MMM JJJJ"))</f>
        <v/>
      </c>
      <c r="J194" s="8" t="s">
        <v>224</v>
      </c>
      <c r="K194" s="6" t="e" vm="193">
        <f t="shared" ref="K194:K225" si="6">_xlfn.IMAGE("https://flagsapi.com/" &amp; A194 &amp; "/flat/64.png", "Flag of " &amp; A194,0)</f>
        <v>#VALUE!</v>
      </c>
    </row>
    <row r="195" spans="1:11" ht="39" customHeight="1" x14ac:dyDescent="0.2">
      <c r="A195" s="5" t="s">
        <v>865</v>
      </c>
      <c r="B195" s="6" t="s">
        <v>882</v>
      </c>
      <c r="C195" s="10" t="s">
        <v>883</v>
      </c>
      <c r="D195" s="9">
        <v>96762</v>
      </c>
      <c r="E195" s="9">
        <v>455</v>
      </c>
      <c r="F195" s="6" t="s">
        <v>474</v>
      </c>
      <c r="G195" s="6" cm="1">
        <f t="array" ref="G19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5" s="6" t="str">
        <f>IF(COUNTIFS(TripTable[Country],CountryTable[[#This Row],[Common Name]])=0,"",TEXT(_xlfn.MINIFS(TripTable[Date],TripTable[Country],CountryTable[[#This Row],[Common Name]]),"MMM JJJJ"))</f>
        <v/>
      </c>
      <c r="I195" s="6" t="str">
        <f>IF(COUNTIFS(TripTable[Country],CountryTable[[#This Row],[Common Name]])=0,"",TEXT(_xlfn.MAXIFS(TripTable[Date],TripTable[Country],CountryTable[[#This Row],[Common Name]]),"MMM JJJJ"))</f>
        <v/>
      </c>
      <c r="J195" s="8" t="s">
        <v>1309</v>
      </c>
      <c r="K195" s="6" t="e" vm="194">
        <f t="shared" si="6"/>
        <v>#VALUE!</v>
      </c>
    </row>
    <row r="196" spans="1:11" ht="39" customHeight="1" x14ac:dyDescent="0.2">
      <c r="A196" s="5" t="s">
        <v>869</v>
      </c>
      <c r="B196" s="6" t="s">
        <v>889</v>
      </c>
      <c r="C196" s="10" t="s">
        <v>890</v>
      </c>
      <c r="D196" s="9">
        <v>7650154</v>
      </c>
      <c r="E196" s="9">
        <v>71740</v>
      </c>
      <c r="F196" s="6" t="s">
        <v>1118</v>
      </c>
      <c r="G196" s="6" cm="1">
        <f t="array" ref="G19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6" s="6" t="str">
        <f>IF(COUNTIFS(TripTable[Country],CountryTable[[#This Row],[Common Name]])=0,"",TEXT(_xlfn.MINIFS(TripTable[Date],TripTable[Country],CountryTable[[#This Row],[Common Name]]),"MMM JJJJ"))</f>
        <v/>
      </c>
      <c r="I196" s="6" t="str">
        <f>IF(COUNTIFS(TripTable[Country],CountryTable[[#This Row],[Common Name]])=0,"",TEXT(_xlfn.MAXIFS(TripTable[Date],TripTable[Country],CountryTable[[#This Row],[Common Name]]),"MMM JJJJ"))</f>
        <v/>
      </c>
      <c r="J196" s="8" t="s">
        <v>1310</v>
      </c>
      <c r="K196" s="6" t="e" vm="195">
        <f t="shared" si="6"/>
        <v>#VALUE!</v>
      </c>
    </row>
    <row r="197" spans="1:11" ht="39" customHeight="1" x14ac:dyDescent="0.2">
      <c r="A197" s="5" t="s">
        <v>137</v>
      </c>
      <c r="B197" s="6" t="s">
        <v>44</v>
      </c>
      <c r="C197" s="10" t="s">
        <v>295</v>
      </c>
      <c r="D197" s="9">
        <v>5638676</v>
      </c>
      <c r="E197" s="9">
        <v>692.7</v>
      </c>
      <c r="F197" s="6" t="s">
        <v>44</v>
      </c>
      <c r="G197" s="6" cm="1">
        <f t="array" ref="G19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7" s="6" t="str">
        <f>IF(COUNTIFS(TripTable[Country],CountryTable[[#This Row],[Common Name]])=0,"",TEXT(_xlfn.MINIFS(TripTable[Date],TripTable[Country],CountryTable[[#This Row],[Common Name]]),"MMM JJJJ"))</f>
        <v/>
      </c>
      <c r="I197" s="6" t="str">
        <f>IF(COUNTIFS(TripTable[Country],CountryTable[[#This Row],[Common Name]])=0,"",TEXT(_xlfn.MAXIFS(TripTable[Date],TripTable[Country],CountryTable[[#This Row],[Common Name]]),"MMM JJJJ"))</f>
        <v/>
      </c>
      <c r="J197" s="8" t="s">
        <v>225</v>
      </c>
      <c r="K197" s="6" t="e" vm="196">
        <f t="shared" si="6"/>
        <v>#VALUE!</v>
      </c>
    </row>
    <row r="198" spans="1:11" ht="39" customHeight="1" x14ac:dyDescent="0.2">
      <c r="A198" s="5" t="s">
        <v>876</v>
      </c>
      <c r="B198" s="6" t="s">
        <v>903</v>
      </c>
      <c r="C198" s="10" t="s">
        <v>903</v>
      </c>
      <c r="D198" s="9">
        <v>40654</v>
      </c>
      <c r="E198" s="9">
        <v>21</v>
      </c>
      <c r="F198" s="6" t="s">
        <v>1125</v>
      </c>
      <c r="G198" s="6" cm="1">
        <f t="array" ref="G19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8" s="6" t="str">
        <f>IF(COUNTIFS(TripTable[Country],CountryTable[[#This Row],[Common Name]])=0,"",TEXT(_xlfn.MINIFS(TripTable[Date],TripTable[Country],CountryTable[[#This Row],[Common Name]]),"MMM JJJJ"))</f>
        <v/>
      </c>
      <c r="I198" s="6" t="str">
        <f>IF(COUNTIFS(TripTable[Country],CountryTable[[#This Row],[Common Name]])=0,"",TEXT(_xlfn.MAXIFS(TripTable[Date],TripTable[Country],CountryTable[[#This Row],[Common Name]]),"MMM JJJJ"))</f>
        <v/>
      </c>
      <c r="J198" s="8" t="s">
        <v>1311</v>
      </c>
      <c r="K198" s="6" t="e" vm="197">
        <f>_xlfn.IMAGE("https://thumb.wikimedia.org/wikipedia/commons/thumb/d/d3/Flag_of_Sint_Maarten.svg/1280px-Flag_of_Sint_Maarten.svg.png", "Flag of " &amp; A198,0)</f>
        <v>#VALUE!</v>
      </c>
    </row>
    <row r="199" spans="1:11" ht="39" customHeight="1" x14ac:dyDescent="0.2">
      <c r="A199" s="5" t="s">
        <v>138</v>
      </c>
      <c r="B199" s="6" t="s">
        <v>45</v>
      </c>
      <c r="C199" s="10" t="s">
        <v>296</v>
      </c>
      <c r="D199" s="9">
        <v>5447011</v>
      </c>
      <c r="E199" s="9">
        <v>48845</v>
      </c>
      <c r="F199" s="6" t="s">
        <v>73</v>
      </c>
      <c r="G199" s="6" cm="1">
        <f t="array" ref="G19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9" s="6" t="str">
        <f>IF(COUNTIFS(TripTable[Country],CountryTable[[#This Row],[Common Name]])=0,"",TEXT(_xlfn.MINIFS(TripTable[Date],TripTable[Country],CountryTable[[#This Row],[Common Name]]),"MMM JJJJ"))</f>
        <v/>
      </c>
      <c r="I199" s="6" t="str">
        <f>IF(COUNTIFS(TripTable[Country],CountryTable[[#This Row],[Common Name]])=0,"",TEXT(_xlfn.MAXIFS(TripTable[Date],TripTable[Country],CountryTable[[#This Row],[Common Name]]),"MMM JJJJ"))</f>
        <v/>
      </c>
      <c r="J199" s="8" t="s">
        <v>226</v>
      </c>
      <c r="K199" s="6" t="e" vm="198">
        <f t="shared" si="6"/>
        <v>#VALUE!</v>
      </c>
    </row>
    <row r="200" spans="1:11" ht="39" customHeight="1" x14ac:dyDescent="0.2">
      <c r="A200" s="5" t="s">
        <v>139</v>
      </c>
      <c r="B200" s="6" t="s">
        <v>46</v>
      </c>
      <c r="C200" s="10" t="s">
        <v>297</v>
      </c>
      <c r="D200" s="9">
        <v>2067372</v>
      </c>
      <c r="E200" s="9">
        <v>20273</v>
      </c>
      <c r="F200" s="6" t="s">
        <v>140</v>
      </c>
      <c r="G200" s="6" cm="1">
        <f t="array" ref="G20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0" s="6" t="str">
        <f>IF(COUNTIFS(TripTable[Country],CountryTable[[#This Row],[Common Name]])=0,"",TEXT(_xlfn.MINIFS(TripTable[Date],TripTable[Country],CountryTable[[#This Row],[Common Name]]),"MMM JJJJ"))</f>
        <v/>
      </c>
      <c r="I200" s="6" t="str">
        <f>IF(COUNTIFS(TripTable[Country],CountryTable[[#This Row],[Common Name]])=0,"",TEXT(_xlfn.MAXIFS(TripTable[Date],TripTable[Country],CountryTable[[#This Row],[Common Name]]),"MMM JJJJ"))</f>
        <v/>
      </c>
      <c r="J200" s="8" t="s">
        <v>227</v>
      </c>
      <c r="K200" s="6" t="e" vm="199">
        <f t="shared" si="6"/>
        <v>#VALUE!</v>
      </c>
    </row>
    <row r="201" spans="1:11" ht="39" customHeight="1" x14ac:dyDescent="0.2">
      <c r="A201" s="5" t="s">
        <v>864</v>
      </c>
      <c r="B201" s="6" t="s">
        <v>881</v>
      </c>
      <c r="C201" s="10" t="s">
        <v>881</v>
      </c>
      <c r="D201" s="9">
        <v>652858</v>
      </c>
      <c r="E201" s="9">
        <v>28450</v>
      </c>
      <c r="F201" s="6" t="s">
        <v>1114</v>
      </c>
      <c r="G201" s="6" cm="1">
        <f t="array" ref="G20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1" s="6" t="str">
        <f>IF(COUNTIFS(TripTable[Country],CountryTable[[#This Row],[Common Name]])=0,"",TEXT(_xlfn.MINIFS(TripTable[Date],TripTable[Country],CountryTable[[#This Row],[Common Name]]),"MMM JJJJ"))</f>
        <v/>
      </c>
      <c r="I201" s="6" t="str">
        <f>IF(COUNTIFS(TripTable[Country],CountryTable[[#This Row],[Common Name]])=0,"",TEXT(_xlfn.MAXIFS(TripTable[Date],TripTable[Country],CountryTable[[#This Row],[Common Name]]),"MMM JJJJ"))</f>
        <v/>
      </c>
      <c r="J201" s="8" t="s">
        <v>1312</v>
      </c>
      <c r="K201" s="6" t="e" vm="200">
        <f t="shared" si="6"/>
        <v>#VALUE!</v>
      </c>
    </row>
    <row r="202" spans="1:11" ht="39" customHeight="1" x14ac:dyDescent="0.2">
      <c r="A202" s="5" t="s">
        <v>871</v>
      </c>
      <c r="B202" s="6" t="s">
        <v>893</v>
      </c>
      <c r="C202" s="10" t="s">
        <v>894</v>
      </c>
      <c r="D202" s="9">
        <v>15008154</v>
      </c>
      <c r="E202" s="9">
        <v>637657</v>
      </c>
      <c r="F202" s="6" t="s">
        <v>1120</v>
      </c>
      <c r="G202" s="6" cm="1">
        <f t="array" ref="G20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2" s="6" t="str">
        <f>IF(COUNTIFS(TripTable[Country],CountryTable[[#This Row],[Common Name]])=0,"",TEXT(_xlfn.MINIFS(TripTable[Date],TripTable[Country],CountryTable[[#This Row],[Common Name]]),"MMM JJJJ"))</f>
        <v/>
      </c>
      <c r="I202" s="6" t="str">
        <f>IF(COUNTIFS(TripTable[Country],CountryTable[[#This Row],[Common Name]])=0,"",TEXT(_xlfn.MAXIFS(TripTable[Date],TripTable[Country],CountryTable[[#This Row],[Common Name]]),"MMM JJJJ"))</f>
        <v/>
      </c>
      <c r="J202" s="8" t="s">
        <v>1313</v>
      </c>
      <c r="K202" s="6" t="e" vm="201">
        <f t="shared" si="6"/>
        <v>#VALUE!</v>
      </c>
    </row>
    <row r="203" spans="1:11" ht="39" customHeight="1" x14ac:dyDescent="0.2">
      <c r="A203" s="5" t="s">
        <v>974</v>
      </c>
      <c r="B203" s="6" t="s">
        <v>981</v>
      </c>
      <c r="C203" s="10" t="s">
        <v>982</v>
      </c>
      <c r="D203" s="9">
        <v>57779622</v>
      </c>
      <c r="E203" s="9">
        <v>1219912</v>
      </c>
      <c r="F203" s="6" t="s">
        <v>1152</v>
      </c>
      <c r="G203" s="6" cm="1">
        <f t="array" ref="G20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3" s="6" t="str">
        <f>IF(COUNTIFS(TripTable[Country],CountryTable[[#This Row],[Common Name]])=0,"",TEXT(_xlfn.MINIFS(TripTable[Date],TripTable[Country],CountryTable[[#This Row],[Common Name]]),"MMM JJJJ"))</f>
        <v/>
      </c>
      <c r="I203" s="6" t="str">
        <f>IF(COUNTIFS(TripTable[Country],CountryTable[[#This Row],[Common Name]])=0,"",TEXT(_xlfn.MAXIFS(TripTable[Date],TripTable[Country],CountryTable[[#This Row],[Common Name]]),"MMM JJJJ"))</f>
        <v/>
      </c>
      <c r="J203" s="8" t="s">
        <v>1314</v>
      </c>
      <c r="K203" s="6" t="e" vm="202">
        <f t="shared" si="6"/>
        <v>#VALUE!</v>
      </c>
    </row>
    <row r="204" spans="1:11" ht="39" customHeight="1" x14ac:dyDescent="0.2">
      <c r="A204" s="5" t="s">
        <v>141</v>
      </c>
      <c r="B204" s="6" t="s">
        <v>47</v>
      </c>
      <c r="C204" s="10" t="s">
        <v>298</v>
      </c>
      <c r="D204" s="9">
        <v>51635256</v>
      </c>
      <c r="E204" s="9">
        <v>98480</v>
      </c>
      <c r="F204" s="6" t="s">
        <v>142</v>
      </c>
      <c r="G204" s="6" cm="1">
        <f t="array" ref="G20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4" s="6" t="str">
        <f>IF(COUNTIFS(TripTable[Country],CountryTable[[#This Row],[Common Name]])=0,"",TEXT(_xlfn.MINIFS(TripTable[Date],TripTable[Country],CountryTable[[#This Row],[Common Name]]),"MMM JJJJ"))</f>
        <v/>
      </c>
      <c r="I204" s="6" t="str">
        <f>IF(COUNTIFS(TripTable[Country],CountryTable[[#This Row],[Common Name]])=0,"",TEXT(_xlfn.MAXIFS(TripTable[Date],TripTable[Country],CountryTable[[#This Row],[Common Name]]),"MMM JJJJ"))</f>
        <v/>
      </c>
      <c r="J204" s="8" t="s">
        <v>238</v>
      </c>
      <c r="K204" s="6" t="e" vm="203">
        <f t="shared" si="6"/>
        <v>#VALUE!</v>
      </c>
    </row>
    <row r="205" spans="1:11" ht="39" customHeight="1" x14ac:dyDescent="0.2">
      <c r="A205" s="5" t="s">
        <v>873</v>
      </c>
      <c r="B205" s="6" t="s">
        <v>897</v>
      </c>
      <c r="C205" s="10" t="s">
        <v>898</v>
      </c>
      <c r="D205" s="9">
        <v>8260490</v>
      </c>
      <c r="E205" s="9">
        <v>644329</v>
      </c>
      <c r="F205" s="6" t="s">
        <v>1122</v>
      </c>
      <c r="G205" s="6" cm="1">
        <f t="array" ref="G20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5" s="6" t="str">
        <f>IF(COUNTIFS(TripTable[Country],CountryTable[[#This Row],[Common Name]])=0,"",TEXT(_xlfn.MINIFS(TripTable[Date],TripTable[Country],CountryTable[[#This Row],[Common Name]]),"MMM JJJJ"))</f>
        <v/>
      </c>
      <c r="I205" s="6" t="str">
        <f>IF(COUNTIFS(TripTable[Country],CountryTable[[#This Row],[Common Name]])=0,"",TEXT(_xlfn.MAXIFS(TripTable[Date],TripTable[Country],CountryTable[[#This Row],[Common Name]]),"MMM JJJJ"))</f>
        <v/>
      </c>
      <c r="J205" s="8" t="s">
        <v>1315</v>
      </c>
      <c r="K205" s="6" t="e" vm="204">
        <f t="shared" si="6"/>
        <v>#VALUE!</v>
      </c>
    </row>
    <row r="206" spans="1:11" ht="39" customHeight="1" x14ac:dyDescent="0.2">
      <c r="A206" s="5" t="s">
        <v>143</v>
      </c>
      <c r="B206" s="6" t="s">
        <v>48</v>
      </c>
      <c r="C206" s="10" t="s">
        <v>299</v>
      </c>
      <c r="D206" s="9">
        <v>46723749</v>
      </c>
      <c r="E206" s="9">
        <v>504782</v>
      </c>
      <c r="F206" s="6" t="s">
        <v>144</v>
      </c>
      <c r="G206" s="6" cm="1">
        <f t="array" ref="G20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6" s="6" t="str">
        <f>IF(COUNTIFS(TripTable[Country],CountryTable[[#This Row],[Common Name]])=0,"",TEXT(_xlfn.MINIFS(TripTable[Date],TripTable[Country],CountryTable[[#This Row],[Common Name]]),"MMM JJJJ"))</f>
        <v/>
      </c>
      <c r="I206" s="6" t="str">
        <f>IF(COUNTIFS(TripTable[Country],CountryTable[[#This Row],[Common Name]])=0,"",TEXT(_xlfn.MAXIFS(TripTable[Date],TripTable[Country],CountryTable[[#This Row],[Common Name]]),"MMM JJJJ"))</f>
        <v/>
      </c>
      <c r="J206" s="8" t="s">
        <v>228</v>
      </c>
      <c r="K206" s="6" t="e" vm="205">
        <f t="shared" si="6"/>
        <v>#VALUE!</v>
      </c>
    </row>
    <row r="207" spans="1:11" ht="39" customHeight="1" x14ac:dyDescent="0.2">
      <c r="A207" s="5" t="s">
        <v>741</v>
      </c>
      <c r="B207" s="6" t="s">
        <v>762</v>
      </c>
      <c r="C207" s="10" t="s">
        <v>763</v>
      </c>
      <c r="D207" s="9">
        <v>21670000</v>
      </c>
      <c r="E207" s="9">
        <v>65610</v>
      </c>
      <c r="F207" s="6" t="s">
        <v>1071</v>
      </c>
      <c r="G207" s="6" cm="1">
        <f t="array" ref="G20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7" s="6" t="str">
        <f>IF(COUNTIFS(TripTable[Country],CountryTable[[#This Row],[Common Name]])=0,"",TEXT(_xlfn.MINIFS(TripTable[Date],TripTable[Country],CountryTable[[#This Row],[Common Name]]),"MMM JJJJ"))</f>
        <v/>
      </c>
      <c r="I207" s="6" t="str">
        <f>IF(COUNTIFS(TripTable[Country],CountryTable[[#This Row],[Common Name]])=0,"",TEXT(_xlfn.MAXIFS(TripTable[Date],TripTable[Country],CountryTable[[#This Row],[Common Name]]),"MMM JJJJ"))</f>
        <v/>
      </c>
      <c r="J207" s="8" t="s">
        <v>1316</v>
      </c>
      <c r="K207" s="6" t="e" vm="206">
        <f t="shared" si="6"/>
        <v>#VALUE!</v>
      </c>
    </row>
    <row r="208" spans="1:11" ht="39" customHeight="1" x14ac:dyDescent="0.2">
      <c r="A208" s="5" t="s">
        <v>866</v>
      </c>
      <c r="B208" s="6" t="s">
        <v>884</v>
      </c>
      <c r="C208" s="10" t="s">
        <v>885</v>
      </c>
      <c r="D208" s="9">
        <v>41801533</v>
      </c>
      <c r="E208" s="9">
        <v>1861484</v>
      </c>
      <c r="F208" s="6" t="s">
        <v>1115</v>
      </c>
      <c r="G208" s="6" cm="1">
        <f t="array" ref="G20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8" s="6" t="str">
        <f>IF(COUNTIFS(TripTable[Country],CountryTable[[#This Row],[Common Name]])=0,"",TEXT(_xlfn.MINIFS(TripTable[Date],TripTable[Country],CountryTable[[#This Row],[Common Name]]),"MMM JJJJ"))</f>
        <v/>
      </c>
      <c r="I208" s="6" t="str">
        <f>IF(COUNTIFS(TripTable[Country],CountryTable[[#This Row],[Common Name]])=0,"",TEXT(_xlfn.MAXIFS(TripTable[Date],TripTable[Country],CountryTable[[#This Row],[Common Name]]),"MMM JJJJ"))</f>
        <v/>
      </c>
      <c r="J208" s="8" t="s">
        <v>1317</v>
      </c>
      <c r="K208" s="6" t="e" vm="207">
        <f t="shared" si="6"/>
        <v>#VALUE!</v>
      </c>
    </row>
    <row r="209" spans="1:11" ht="39" customHeight="1" x14ac:dyDescent="0.2">
      <c r="A209" s="5" t="s">
        <v>872</v>
      </c>
      <c r="B209" s="6" t="s">
        <v>895</v>
      </c>
      <c r="C209" s="10" t="s">
        <v>896</v>
      </c>
      <c r="D209" s="9">
        <v>575991</v>
      </c>
      <c r="E209" s="9">
        <v>163270</v>
      </c>
      <c r="F209" s="6" t="s">
        <v>1121</v>
      </c>
      <c r="G209" s="6" cm="1">
        <f t="array" ref="G20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9" s="6" t="str">
        <f>IF(COUNTIFS(TripTable[Country],CountryTable[[#This Row],[Common Name]])=0,"",TEXT(_xlfn.MINIFS(TripTable[Date],TripTable[Country],CountryTable[[#This Row],[Common Name]]),"MMM JJJJ"))</f>
        <v/>
      </c>
      <c r="I209" s="6" t="str">
        <f>IF(COUNTIFS(TripTable[Country],CountryTable[[#This Row],[Common Name]])=0,"",TEXT(_xlfn.MAXIFS(TripTable[Date],TripTable[Country],CountryTable[[#This Row],[Common Name]]),"MMM JJJJ"))</f>
        <v/>
      </c>
      <c r="J209" s="8" t="s">
        <v>1318</v>
      </c>
      <c r="K209" s="6" t="e" vm="208">
        <f t="shared" si="6"/>
        <v>#VALUE!</v>
      </c>
    </row>
    <row r="210" spans="1:11" ht="39" customHeight="1" x14ac:dyDescent="0.2">
      <c r="A210" s="5" t="s">
        <v>868</v>
      </c>
      <c r="B210" s="6" t="s">
        <v>887</v>
      </c>
      <c r="C210" s="10" t="s">
        <v>888</v>
      </c>
      <c r="D210" s="9">
        <v>2550</v>
      </c>
      <c r="E210" s="9">
        <v>62049</v>
      </c>
      <c r="F210" s="6" t="s">
        <v>1117</v>
      </c>
      <c r="G210" s="6" cm="1">
        <f t="array" ref="G21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0" s="6" t="str">
        <f>IF(COUNTIFS(TripTable[Country],CountryTable[[#This Row],[Common Name]])=0,"",TEXT(_xlfn.MINIFS(TripTable[Date],TripTable[Country],CountryTable[[#This Row],[Common Name]]),"MMM JJJJ"))</f>
        <v/>
      </c>
      <c r="I210" s="6" t="str">
        <f>IF(COUNTIFS(TripTable[Country],CountryTable[[#This Row],[Common Name]])=0,"",TEXT(_xlfn.MAXIFS(TripTable[Date],TripTable[Country],CountryTable[[#This Row],[Common Name]]),"MMM JJJJ"))</f>
        <v/>
      </c>
      <c r="J210" s="8" t="s">
        <v>1319</v>
      </c>
      <c r="K210" s="6" t="e" vm="209">
        <f>_xlfn.IMAGE("https://thumb.wikimedia.org/wikipedia/commons/thumb/d/d9/Flag_of_Norway.svg/1280px-Flag_of_Norway.svg.png", "Flag of " &amp; A210,0)</f>
        <v>#VALUE!</v>
      </c>
    </row>
    <row r="211" spans="1:11" ht="39" customHeight="1" x14ac:dyDescent="0.2">
      <c r="A211" s="5" t="s">
        <v>145</v>
      </c>
      <c r="B211" s="6" t="s">
        <v>49</v>
      </c>
      <c r="C211" s="10" t="s">
        <v>300</v>
      </c>
      <c r="D211" s="9">
        <v>10183175</v>
      </c>
      <c r="E211" s="9">
        <v>449964</v>
      </c>
      <c r="F211" s="6" t="s">
        <v>258</v>
      </c>
      <c r="G211" s="6" cm="1">
        <f t="array" ref="G21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1" s="6" t="str">
        <f>IF(COUNTIFS(TripTable[Country],CountryTable[[#This Row],[Common Name]])=0,"",TEXT(_xlfn.MINIFS(TripTable[Date],TripTable[Country],CountryTable[[#This Row],[Common Name]]),"MMM JJJJ"))</f>
        <v/>
      </c>
      <c r="I211" s="6" t="str">
        <f>IF(COUNTIFS(TripTable[Country],CountryTable[[#This Row],[Common Name]])=0,"",TEXT(_xlfn.MAXIFS(TripTable[Date],TripTable[Country],CountryTable[[#This Row],[Common Name]]),"MMM JJJJ"))</f>
        <v/>
      </c>
      <c r="J211" s="8" t="s">
        <v>229</v>
      </c>
      <c r="K211" s="6" t="e" vm="210">
        <f t="shared" si="6"/>
        <v>#VALUE!</v>
      </c>
    </row>
    <row r="212" spans="1:11" ht="39" customHeight="1" x14ac:dyDescent="0.2">
      <c r="A212" s="5" t="s">
        <v>146</v>
      </c>
      <c r="B212" s="6" t="s">
        <v>50</v>
      </c>
      <c r="C212" s="10" t="s">
        <v>301</v>
      </c>
      <c r="D212" s="9">
        <v>8516543</v>
      </c>
      <c r="E212" s="9">
        <v>41290</v>
      </c>
      <c r="F212" s="6" t="s">
        <v>147</v>
      </c>
      <c r="G212" s="6" cm="1">
        <f t="array" ref="G21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2" s="6" t="str">
        <f>IF(COUNTIFS(TripTable[Country],CountryTable[[#This Row],[Common Name]])=0,"",TEXT(_xlfn.MINIFS(TripTable[Date],TripTable[Country],CountryTable[[#This Row],[Common Name]]),"MMM JJJJ"))</f>
        <v/>
      </c>
      <c r="I212" s="6" t="str">
        <f>IF(COUNTIFS(TripTable[Country],CountryTable[[#This Row],[Common Name]])=0,"",TEXT(_xlfn.MAXIFS(TripTable[Date],TripTable[Country],CountryTable[[#This Row],[Common Name]]),"MMM JJJJ"))</f>
        <v/>
      </c>
      <c r="J212" s="8" t="s">
        <v>230</v>
      </c>
      <c r="K212" s="6" t="e" vm="211">
        <f t="shared" si="6"/>
        <v>#VALUE!</v>
      </c>
    </row>
    <row r="213" spans="1:11" ht="39" customHeight="1" x14ac:dyDescent="0.2">
      <c r="A213" s="5" t="s">
        <v>877</v>
      </c>
      <c r="B213" s="6" t="s">
        <v>904</v>
      </c>
      <c r="C213" s="10" t="s">
        <v>905</v>
      </c>
      <c r="D213" s="9">
        <v>16906283</v>
      </c>
      <c r="E213" s="9">
        <v>185180</v>
      </c>
      <c r="F213" s="6" t="s">
        <v>1126</v>
      </c>
      <c r="G213" s="6" cm="1">
        <f t="array" ref="G21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3" s="6" t="str">
        <f>IF(COUNTIFS(TripTable[Country],CountryTable[[#This Row],[Common Name]])=0,"",TEXT(_xlfn.MINIFS(TripTable[Date],TripTable[Country],CountryTable[[#This Row],[Common Name]]),"MMM JJJJ"))</f>
        <v/>
      </c>
      <c r="I213" s="6" t="str">
        <f>IF(COUNTIFS(TripTable[Country],CountryTable[[#This Row],[Common Name]])=0,"",TEXT(_xlfn.MAXIFS(TripTable[Date],TripTable[Country],CountryTable[[#This Row],[Common Name]]),"MMM JJJJ"))</f>
        <v/>
      </c>
      <c r="J213" s="8" t="s">
        <v>1320</v>
      </c>
      <c r="K213" s="6" t="e" vm="212">
        <f t="shared" si="6"/>
        <v>#VALUE!</v>
      </c>
    </row>
    <row r="214" spans="1:11" ht="39" customHeight="1" x14ac:dyDescent="0.2">
      <c r="A214" s="5" t="s">
        <v>149</v>
      </c>
      <c r="B214" s="6" t="s">
        <v>51</v>
      </c>
      <c r="C214" s="10" t="s">
        <v>302</v>
      </c>
      <c r="D214" s="9">
        <v>23451837</v>
      </c>
      <c r="E214" s="9">
        <v>35980</v>
      </c>
      <c r="F214" s="6" t="s">
        <v>150</v>
      </c>
      <c r="G214" s="6" cm="1">
        <f t="array" ref="G21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4" s="6" t="str">
        <f>IF(COUNTIFS(TripTable[Country],CountryTable[[#This Row],[Common Name]])=0,"",TEXT(_xlfn.MINIFS(TripTable[Date],TripTable[Country],CountryTable[[#This Row],[Common Name]]),"MMM JJJJ"))</f>
        <v/>
      </c>
      <c r="I214" s="6" t="str">
        <f>IF(COUNTIFS(TripTable[Country],CountryTable[[#This Row],[Common Name]])=0,"",TEXT(_xlfn.MAXIFS(TripTable[Date],TripTable[Country],CountryTable[[#This Row],[Common Name]]),"MMM JJJJ"))</f>
        <v/>
      </c>
      <c r="J214" s="8" t="s">
        <v>231</v>
      </c>
      <c r="K214" s="6" t="e" vm="213">
        <f t="shared" si="6"/>
        <v>#VALUE!</v>
      </c>
    </row>
    <row r="215" spans="1:11" ht="39" customHeight="1" x14ac:dyDescent="0.2">
      <c r="A215" s="5" t="s">
        <v>911</v>
      </c>
      <c r="B215" s="6" t="s">
        <v>924</v>
      </c>
      <c r="C215" s="10" t="s">
        <v>925</v>
      </c>
      <c r="D215" s="9">
        <v>9100837</v>
      </c>
      <c r="E215" s="9">
        <v>143100</v>
      </c>
      <c r="F215" s="6" t="s">
        <v>1131</v>
      </c>
      <c r="G215" s="6" cm="1">
        <f t="array" ref="G2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5" s="6" t="str">
        <f>IF(COUNTIFS(TripTable[Country],CountryTable[[#This Row],[Common Name]])=0,"",TEXT(_xlfn.MINIFS(TripTable[Date],TripTable[Country],CountryTable[[#This Row],[Common Name]]),"MMM JJJJ"))</f>
        <v/>
      </c>
      <c r="I215" s="6" t="str">
        <f>IF(COUNTIFS(TripTable[Country],CountryTable[[#This Row],[Common Name]])=0,"",TEXT(_xlfn.MAXIFS(TripTable[Date],TripTable[Country],CountryTable[[#This Row],[Common Name]]),"MMM JJJJ"))</f>
        <v/>
      </c>
      <c r="J215" s="8" t="s">
        <v>1321</v>
      </c>
      <c r="K215" s="6" t="e" vm="214">
        <f t="shared" si="6"/>
        <v>#VALUE!</v>
      </c>
    </row>
    <row r="216" spans="1:11" ht="39" customHeight="1" x14ac:dyDescent="0.2">
      <c r="A216" s="5" t="s">
        <v>918</v>
      </c>
      <c r="B216" s="6" t="s">
        <v>937</v>
      </c>
      <c r="C216" s="10" t="s">
        <v>938</v>
      </c>
      <c r="D216" s="9">
        <v>56318348</v>
      </c>
      <c r="E216" s="9">
        <v>945087</v>
      </c>
      <c r="F216" s="6" t="s">
        <v>1138</v>
      </c>
      <c r="G216" s="6" cm="1">
        <f t="array" ref="G21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6" s="6" t="str">
        <f>IF(COUNTIFS(TripTable[Country],CountryTable[[#This Row],[Common Name]])=0,"",TEXT(_xlfn.MINIFS(TripTable[Date],TripTable[Country],CountryTable[[#This Row],[Common Name]]),"MMM JJJJ"))</f>
        <v/>
      </c>
      <c r="I216" s="6" t="str">
        <f>IF(COUNTIFS(TripTable[Country],CountryTable[[#This Row],[Common Name]])=0,"",TEXT(_xlfn.MAXIFS(TripTable[Date],TripTable[Country],CountryTable[[#This Row],[Common Name]]),"MMM JJJJ"))</f>
        <v/>
      </c>
      <c r="J216" s="8" t="s">
        <v>1322</v>
      </c>
      <c r="K216" s="6" t="e" vm="215">
        <f t="shared" si="6"/>
        <v>#VALUE!</v>
      </c>
    </row>
    <row r="217" spans="1:11" ht="39" customHeight="1" x14ac:dyDescent="0.2">
      <c r="A217" s="5" t="s">
        <v>151</v>
      </c>
      <c r="B217" s="6" t="s">
        <v>52</v>
      </c>
      <c r="C217" s="10" t="s">
        <v>303</v>
      </c>
      <c r="D217" s="9">
        <v>69428524</v>
      </c>
      <c r="E217" s="9">
        <v>514000</v>
      </c>
      <c r="F217" s="6" t="s">
        <v>152</v>
      </c>
      <c r="G217" s="6" cm="1">
        <f t="array" ref="G21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7" s="6" t="str">
        <f>IF(COUNTIFS(TripTable[Country],CountryTable[[#This Row],[Common Name]])=0,"",TEXT(_xlfn.MINIFS(TripTable[Date],TripTable[Country],CountryTable[[#This Row],[Common Name]]),"MMM JJJJ"))</f>
        <v/>
      </c>
      <c r="I217" s="6" t="str">
        <f>IF(COUNTIFS(TripTable[Country],CountryTable[[#This Row],[Common Name]])=0,"",TEXT(_xlfn.MAXIFS(TripTable[Date],TripTable[Country],CountryTable[[#This Row],[Common Name]]),"MMM JJJJ"))</f>
        <v/>
      </c>
      <c r="J217" s="8" t="s">
        <v>232</v>
      </c>
      <c r="K217" s="6" t="e" vm="216">
        <f t="shared" si="6"/>
        <v>#VALUE!</v>
      </c>
    </row>
    <row r="218" spans="1:11" ht="39" customHeight="1" x14ac:dyDescent="0.2">
      <c r="A218" s="5" t="s">
        <v>912</v>
      </c>
      <c r="B218" s="6" t="s">
        <v>927</v>
      </c>
      <c r="C218" s="10" t="s">
        <v>928</v>
      </c>
      <c r="D218" s="9">
        <v>1267972</v>
      </c>
      <c r="E218" s="9">
        <v>15007</v>
      </c>
      <c r="F218" s="6" t="s">
        <v>1132</v>
      </c>
      <c r="G218" s="6" cm="1">
        <f t="array" ref="G21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8" s="6" t="str">
        <f>IF(COUNTIFS(TripTable[Country],CountryTable[[#This Row],[Common Name]])=0,"",TEXT(_xlfn.MINIFS(TripTable[Date],TripTable[Country],CountryTable[[#This Row],[Common Name]]),"MMM JJJJ"))</f>
        <v/>
      </c>
      <c r="I218" s="6" t="str">
        <f>IF(COUNTIFS(TripTable[Country],CountryTable[[#This Row],[Common Name]])=0,"",TEXT(_xlfn.MAXIFS(TripTable[Date],TripTable[Country],CountryTable[[#This Row],[Common Name]]),"MMM JJJJ"))</f>
        <v/>
      </c>
      <c r="J218" s="8" t="s">
        <v>1323</v>
      </c>
      <c r="K218" s="6" t="e" vm="217">
        <f t="shared" si="6"/>
        <v>#VALUE!</v>
      </c>
    </row>
    <row r="219" spans="1:11" ht="39" customHeight="1" x14ac:dyDescent="0.2">
      <c r="A219" s="5" t="s">
        <v>910</v>
      </c>
      <c r="B219" s="6" t="s">
        <v>922</v>
      </c>
      <c r="C219" s="10" t="s">
        <v>923</v>
      </c>
      <c r="D219" s="9">
        <v>7889094</v>
      </c>
      <c r="E219" s="9">
        <v>56785</v>
      </c>
      <c r="F219" s="6" t="s">
        <v>1130</v>
      </c>
      <c r="G219" s="6" cm="1">
        <f t="array" ref="G2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9" s="6" t="str">
        <f>IF(COUNTIFS(TripTable[Country],CountryTable[[#This Row],[Common Name]])=0,"",TEXT(_xlfn.MINIFS(TripTable[Date],TripTable[Country],CountryTable[[#This Row],[Common Name]]),"MMM JJJJ"))</f>
        <v/>
      </c>
      <c r="I219" s="6" t="str">
        <f>IF(COUNTIFS(TripTable[Country],CountryTable[[#This Row],[Common Name]])=0,"",TEXT(_xlfn.MAXIFS(TripTable[Date],TripTable[Country],CountryTable[[#This Row],[Common Name]]),"MMM JJJJ"))</f>
        <v/>
      </c>
      <c r="J219" s="8" t="s">
        <v>1324</v>
      </c>
      <c r="K219" s="6" t="e" vm="218">
        <f t="shared" si="6"/>
        <v>#VALUE!</v>
      </c>
    </row>
    <row r="220" spans="1:11" ht="39" customHeight="1" x14ac:dyDescent="0.2">
      <c r="A220" s="5" t="s">
        <v>446</v>
      </c>
      <c r="B220" s="6" t="s">
        <v>926</v>
      </c>
      <c r="C220" s="10" t="s">
        <v>926</v>
      </c>
      <c r="D220" s="9">
        <v>1466</v>
      </c>
      <c r="E220" s="9">
        <v>10</v>
      </c>
      <c r="G220" s="6" cm="1">
        <f t="array" ref="G22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0" s="6" t="str">
        <f>IF(COUNTIFS(TripTable[Country],CountryTable[[#This Row],[Common Name]])=0,"",TEXT(_xlfn.MINIFS(TripTable[Date],TripTable[Country],CountryTable[[#This Row],[Common Name]]),"MMM JJJJ"))</f>
        <v/>
      </c>
      <c r="I220" s="6" t="str">
        <f>IF(COUNTIFS(TripTable[Country],CountryTable[[#This Row],[Common Name]])=0,"",TEXT(_xlfn.MAXIFS(TripTable[Date],TripTable[Country],CountryTable[[#This Row],[Common Name]]),"MMM JJJJ"))</f>
        <v/>
      </c>
      <c r="J220" s="8" t="s">
        <v>1325</v>
      </c>
      <c r="K220" s="6" t="e" vm="219">
        <f t="shared" si="6"/>
        <v>#VALUE!</v>
      </c>
    </row>
    <row r="221" spans="1:11" ht="39" customHeight="1" x14ac:dyDescent="0.2">
      <c r="A221" s="5" t="s">
        <v>915</v>
      </c>
      <c r="B221" s="6" t="s">
        <v>932</v>
      </c>
      <c r="C221" s="10" t="s">
        <v>933</v>
      </c>
      <c r="D221" s="9">
        <v>103197</v>
      </c>
      <c r="E221" s="9">
        <v>748</v>
      </c>
      <c r="F221" s="6" t="s">
        <v>1135</v>
      </c>
      <c r="G221" s="6" cm="1">
        <f t="array" ref="G22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1" s="6" t="str">
        <f>IF(COUNTIFS(TripTable[Country],CountryTable[[#This Row],[Common Name]])=0,"",TEXT(_xlfn.MINIFS(TripTable[Date],TripTable[Country],CountryTable[[#This Row],[Common Name]]),"MMM JJJJ"))</f>
        <v/>
      </c>
      <c r="I221" s="6" t="str">
        <f>IF(COUNTIFS(TripTable[Country],CountryTable[[#This Row],[Common Name]])=0,"",TEXT(_xlfn.MAXIFS(TripTable[Date],TripTable[Country],CountryTable[[#This Row],[Common Name]]),"MMM JJJJ"))</f>
        <v/>
      </c>
      <c r="J221" s="8" t="s">
        <v>1326</v>
      </c>
      <c r="K221" s="6" t="e" vm="220">
        <f t="shared" si="6"/>
        <v>#VALUE!</v>
      </c>
    </row>
    <row r="222" spans="1:11" ht="39" customHeight="1" x14ac:dyDescent="0.2">
      <c r="A222" s="5" t="s">
        <v>916</v>
      </c>
      <c r="B222" s="6" t="s">
        <v>934</v>
      </c>
      <c r="C222" s="10" t="s">
        <v>935</v>
      </c>
      <c r="D222" s="9">
        <v>1389858</v>
      </c>
      <c r="E222" s="9">
        <v>5128</v>
      </c>
      <c r="F222" s="6" t="s">
        <v>1136</v>
      </c>
      <c r="G222" s="6" cm="1">
        <f t="array" ref="G2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2" s="6" t="str">
        <f>IF(COUNTIFS(TripTable[Country],CountryTable[[#This Row],[Common Name]])=0,"",TEXT(_xlfn.MINIFS(TripTable[Date],TripTable[Country],CountryTable[[#This Row],[Common Name]]),"MMM JJJJ"))</f>
        <v/>
      </c>
      <c r="I222" s="6" t="str">
        <f>IF(COUNTIFS(TripTable[Country],CountryTable[[#This Row],[Common Name]])=0,"",TEXT(_xlfn.MAXIFS(TripTable[Date],TripTable[Country],CountryTable[[#This Row],[Common Name]]),"MMM JJJJ"))</f>
        <v/>
      </c>
      <c r="J222" s="8" t="s">
        <v>1327</v>
      </c>
      <c r="K222" s="6" t="e" vm="221">
        <f t="shared" si="6"/>
        <v>#VALUE!</v>
      </c>
    </row>
    <row r="223" spans="1:11" ht="39" customHeight="1" x14ac:dyDescent="0.2">
      <c r="A223" s="5" t="s">
        <v>914</v>
      </c>
      <c r="B223" s="6" t="s">
        <v>930</v>
      </c>
      <c r="C223" s="10" t="s">
        <v>931</v>
      </c>
      <c r="D223" s="9">
        <v>11565204</v>
      </c>
      <c r="E223" s="9">
        <v>163610</v>
      </c>
      <c r="F223" s="6" t="s">
        <v>1134</v>
      </c>
      <c r="G223" s="6" cm="1">
        <f t="array" ref="G22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3" s="6" t="str">
        <f>IF(COUNTIFS(TripTable[Country],CountryTable[[#This Row],[Common Name]])=0,"",TEXT(_xlfn.MINIFS(TripTable[Date],TripTable[Country],CountryTable[[#This Row],[Common Name]]),"MMM JJJJ"))</f>
        <v/>
      </c>
      <c r="I223" s="6" t="str">
        <f>IF(COUNTIFS(TripTable[Country],CountryTable[[#This Row],[Common Name]])=0,"",TEXT(_xlfn.MAXIFS(TripTable[Date],TripTable[Country],CountryTable[[#This Row],[Common Name]]),"MMM JJJJ"))</f>
        <v/>
      </c>
      <c r="J223" s="8" t="s">
        <v>1328</v>
      </c>
      <c r="K223" s="6" t="e" vm="222">
        <f t="shared" si="6"/>
        <v>#VALUE!</v>
      </c>
    </row>
    <row r="224" spans="1:11" ht="39" customHeight="1" x14ac:dyDescent="0.2">
      <c r="A224" s="5" t="s">
        <v>153</v>
      </c>
      <c r="B224" s="6" t="s">
        <v>53</v>
      </c>
      <c r="C224" s="10" t="s">
        <v>304</v>
      </c>
      <c r="D224" s="9">
        <v>82319724</v>
      </c>
      <c r="E224" s="9">
        <v>780580</v>
      </c>
      <c r="F224" s="6" t="s">
        <v>259</v>
      </c>
      <c r="G224" s="6" cm="1">
        <f t="array" ref="G22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4" s="6" t="str">
        <f>IF(COUNTIFS(TripTable[Country],CountryTable[[#This Row],[Common Name]])=0,"",TEXT(_xlfn.MINIFS(TripTable[Date],TripTable[Country],CountryTable[[#This Row],[Common Name]]),"MMM JJJJ"))</f>
        <v/>
      </c>
      <c r="I224" s="6" t="str">
        <f>IF(COUNTIFS(TripTable[Country],CountryTable[[#This Row],[Common Name]])=0,"",TEXT(_xlfn.MAXIFS(TripTable[Date],TripTable[Country],CountryTable[[#This Row],[Common Name]]),"MMM JJJJ"))</f>
        <v/>
      </c>
      <c r="J224" s="8" t="s">
        <v>233</v>
      </c>
      <c r="K224" s="6" t="e" vm="223">
        <f t="shared" si="6"/>
        <v>#VALUE!</v>
      </c>
    </row>
    <row r="225" spans="1:11" ht="39" customHeight="1" x14ac:dyDescent="0.2">
      <c r="A225" s="5" t="s">
        <v>913</v>
      </c>
      <c r="B225" s="6" t="s">
        <v>929</v>
      </c>
      <c r="C225" s="10" t="s">
        <v>929</v>
      </c>
      <c r="D225" s="9">
        <v>5850908</v>
      </c>
      <c r="E225" s="9">
        <v>488100</v>
      </c>
      <c r="F225" s="6" t="s">
        <v>1133</v>
      </c>
      <c r="G225" s="6" cm="1">
        <f t="array" ref="G2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5" s="6" t="str">
        <f>IF(COUNTIFS(TripTable[Country],CountryTable[[#This Row],[Common Name]])=0,"",TEXT(_xlfn.MINIFS(TripTable[Date],TripTable[Country],CountryTable[[#This Row],[Common Name]]),"MMM JJJJ"))</f>
        <v/>
      </c>
      <c r="I225" s="6" t="str">
        <f>IF(COUNTIFS(TripTable[Country],CountryTable[[#This Row],[Common Name]])=0,"",TEXT(_xlfn.MAXIFS(TripTable[Date],TripTable[Country],CountryTable[[#This Row],[Common Name]]),"MMM JJJJ"))</f>
        <v/>
      </c>
      <c r="J225" s="8" t="s">
        <v>1329</v>
      </c>
      <c r="K225" s="6" t="e" vm="224">
        <f t="shared" si="6"/>
        <v>#VALUE!</v>
      </c>
    </row>
    <row r="226" spans="1:11" ht="39" customHeight="1" x14ac:dyDescent="0.2">
      <c r="A226" s="5" t="s">
        <v>908</v>
      </c>
      <c r="B226" s="6" t="s">
        <v>919</v>
      </c>
      <c r="C226" s="10" t="s">
        <v>919</v>
      </c>
      <c r="D226" s="9">
        <v>37665</v>
      </c>
      <c r="E226" s="9">
        <v>430</v>
      </c>
      <c r="F226" s="6" t="s">
        <v>1128</v>
      </c>
      <c r="G226" s="6" cm="1">
        <f t="array" ref="G2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6" s="6" t="str">
        <f>IF(COUNTIFS(TripTable[Country],CountryTable[[#This Row],[Common Name]])=0,"",TEXT(_xlfn.MINIFS(TripTable[Date],TripTable[Country],CountryTable[[#This Row],[Common Name]]),"MMM JJJJ"))</f>
        <v/>
      </c>
      <c r="I226" s="6" t="str">
        <f>IF(COUNTIFS(TripTable[Country],CountryTable[[#This Row],[Common Name]])=0,"",TEXT(_xlfn.MAXIFS(TripTable[Date],TripTable[Country],CountryTable[[#This Row],[Common Name]]),"MMM JJJJ"))</f>
        <v/>
      </c>
      <c r="J226" s="8" t="s">
        <v>1330</v>
      </c>
      <c r="K226" s="6" t="e" vm="225">
        <f t="shared" ref="K226:K244" si="7">_xlfn.IMAGE("https://flagsapi.com/" &amp; A226 &amp; "/flat/64.png", "Flag of " &amp; A226,0)</f>
        <v>#VALUE!</v>
      </c>
    </row>
    <row r="227" spans="1:11" ht="39" customHeight="1" x14ac:dyDescent="0.2">
      <c r="A227" s="5" t="s">
        <v>917</v>
      </c>
      <c r="B227" s="6" t="s">
        <v>936</v>
      </c>
      <c r="C227" s="10" t="s">
        <v>936</v>
      </c>
      <c r="D227" s="9">
        <v>11508</v>
      </c>
      <c r="E227" s="9">
        <v>26</v>
      </c>
      <c r="F227" s="6" t="s">
        <v>1137</v>
      </c>
      <c r="G227" s="6" cm="1">
        <f t="array" ref="G2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7" s="6" t="str">
        <f>IF(COUNTIFS(TripTable[Country],CountryTable[[#This Row],[Common Name]])=0,"",TEXT(_xlfn.MINIFS(TripTable[Date],TripTable[Country],CountryTable[[#This Row],[Common Name]]),"MMM JJJJ"))</f>
        <v/>
      </c>
      <c r="I227" s="6" t="str">
        <f>IF(COUNTIFS(TripTable[Country],CountryTable[[#This Row],[Common Name]])=0,"",TEXT(_xlfn.MAXIFS(TripTable[Date],TripTable[Country],CountryTable[[#This Row],[Common Name]]),"MMM JJJJ"))</f>
        <v/>
      </c>
      <c r="J227" s="8" t="s">
        <v>1331</v>
      </c>
      <c r="K227" s="6" t="e" vm="226">
        <f t="shared" si="7"/>
        <v>#VALUE!</v>
      </c>
    </row>
    <row r="228" spans="1:11" ht="39" customHeight="1" x14ac:dyDescent="0.2">
      <c r="A228" s="5" t="s">
        <v>939</v>
      </c>
      <c r="B228" s="6" t="s">
        <v>951</v>
      </c>
      <c r="C228" s="10" t="s">
        <v>952</v>
      </c>
      <c r="D228" s="9">
        <v>42723139</v>
      </c>
      <c r="E228" s="9">
        <v>236040</v>
      </c>
      <c r="F228" s="6" t="s">
        <v>1140</v>
      </c>
      <c r="G228" s="6" cm="1">
        <f t="array" ref="G22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8" s="6" t="str">
        <f>IF(COUNTIFS(TripTable[Country],CountryTable[[#This Row],[Common Name]])=0,"",TEXT(_xlfn.MINIFS(TripTable[Date],TripTable[Country],CountryTable[[#This Row],[Common Name]]),"MMM JJJJ"))</f>
        <v/>
      </c>
      <c r="I228" s="6" t="str">
        <f>IF(COUNTIFS(TripTable[Country],CountryTable[[#This Row],[Common Name]])=0,"",TEXT(_xlfn.MAXIFS(TripTable[Date],TripTable[Country],CountryTable[[#This Row],[Common Name]]),"MMM JJJJ"))</f>
        <v/>
      </c>
      <c r="J228" s="8" t="s">
        <v>1332</v>
      </c>
      <c r="K228" s="6" t="e" vm="227">
        <f t="shared" si="7"/>
        <v>#VALUE!</v>
      </c>
    </row>
    <row r="229" spans="1:11" ht="39" customHeight="1" x14ac:dyDescent="0.2">
      <c r="A229" s="5" t="s">
        <v>368</v>
      </c>
      <c r="B229" s="6" t="s">
        <v>950</v>
      </c>
      <c r="C229" s="10" t="s">
        <v>950</v>
      </c>
      <c r="D229" s="9">
        <v>44622516</v>
      </c>
      <c r="E229" s="9">
        <v>603700</v>
      </c>
      <c r="F229" s="6" t="s">
        <v>1139</v>
      </c>
      <c r="G229" s="6" cm="1">
        <f t="array" ref="G2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9" s="6" t="str">
        <f>IF(COUNTIFS(TripTable[Country],CountryTable[[#This Row],[Common Name]])=0,"",TEXT(_xlfn.MINIFS(TripTable[Date],TripTable[Country],CountryTable[[#This Row],[Common Name]]),"MMM JJJJ"))</f>
        <v/>
      </c>
      <c r="I229" s="6" t="str">
        <f>IF(COUNTIFS(TripTable[Country],CountryTable[[#This Row],[Common Name]])=0,"",TEXT(_xlfn.MAXIFS(TripTable[Date],TripTable[Country],CountryTable[[#This Row],[Common Name]]),"MMM JJJJ"))</f>
        <v/>
      </c>
      <c r="J229" s="8" t="s">
        <v>1333</v>
      </c>
      <c r="K229" s="6" t="e" vm="228">
        <f t="shared" si="7"/>
        <v>#VALUE!</v>
      </c>
    </row>
    <row r="230" spans="1:11" ht="39" customHeight="1" x14ac:dyDescent="0.2">
      <c r="A230" s="5" t="s">
        <v>155</v>
      </c>
      <c r="B230" s="7" t="s">
        <v>156</v>
      </c>
      <c r="C230" s="10" t="s">
        <v>156</v>
      </c>
      <c r="D230" s="9">
        <v>9630959</v>
      </c>
      <c r="E230" s="9">
        <v>82880</v>
      </c>
      <c r="F230" s="6" t="s">
        <v>260</v>
      </c>
      <c r="G230" s="6" cm="1">
        <f t="array" ref="G23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0" s="6" t="str">
        <f>IF(COUNTIFS(TripTable[Country],CountryTable[[#This Row],[Common Name]])=0,"",TEXT(_xlfn.MINIFS(TripTable[Date],TripTable[Country],CountryTable[[#This Row],[Common Name]]),"MMM JJJJ"))</f>
        <v/>
      </c>
      <c r="I230" s="6" t="str">
        <f>IF(COUNTIFS(TripTable[Country],CountryTable[[#This Row],[Common Name]])=0,"",TEXT(_xlfn.MAXIFS(TripTable[Date],TripTable[Country],CountryTable[[#This Row],[Common Name]]),"MMM JJJJ"))</f>
        <v/>
      </c>
      <c r="J230" s="8" t="s">
        <v>237</v>
      </c>
      <c r="K230" s="6" t="e" vm="229">
        <f t="shared" si="7"/>
        <v>#VALUE!</v>
      </c>
    </row>
    <row r="231" spans="1:11" ht="39" customHeight="1" x14ac:dyDescent="0.2">
      <c r="A231" s="5" t="s">
        <v>157</v>
      </c>
      <c r="B231" s="6" t="s">
        <v>55</v>
      </c>
      <c r="C231" s="10" t="s">
        <v>305</v>
      </c>
      <c r="D231" s="9">
        <v>66488991</v>
      </c>
      <c r="E231" s="9">
        <v>244820</v>
      </c>
      <c r="F231" s="6" t="s">
        <v>71</v>
      </c>
      <c r="G231" s="6" cm="1">
        <f t="array" ref="G23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1" s="6" t="str">
        <f>IF(COUNTIFS(TripTable[Country],CountryTable[[#This Row],[Common Name]])=0,"",TEXT(_xlfn.MINIFS(TripTable[Date],TripTable[Country],CountryTable[[#This Row],[Common Name]]),"MMM JJJJ"))</f>
        <v/>
      </c>
      <c r="I231" s="6" t="str">
        <f>IF(COUNTIFS(TripTable[Country],CountryTable[[#This Row],[Common Name]])=0,"",TEXT(_xlfn.MAXIFS(TripTable[Date],TripTable[Country],CountryTable[[#This Row],[Common Name]]),"MMM JJJJ"))</f>
        <v/>
      </c>
      <c r="J231" s="8" t="s">
        <v>236</v>
      </c>
      <c r="K231" s="6" t="e" vm="230">
        <f t="shared" si="7"/>
        <v>#VALUE!</v>
      </c>
    </row>
    <row r="232" spans="1:11" ht="39" customHeight="1" x14ac:dyDescent="0.2">
      <c r="A232" s="5" t="s">
        <v>159</v>
      </c>
      <c r="B232" s="7" t="s">
        <v>56</v>
      </c>
      <c r="C232" s="10" t="s">
        <v>306</v>
      </c>
      <c r="D232" s="9">
        <v>327167434</v>
      </c>
      <c r="E232" s="9">
        <v>9629091</v>
      </c>
      <c r="F232" s="6" t="s">
        <v>261</v>
      </c>
      <c r="G232" s="6" cm="1">
        <f t="array" ref="G23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2" s="6" t="str">
        <f>IF(COUNTIFS(TripTable[Country],CountryTable[[#This Row],[Common Name]])=0,"",TEXT(_xlfn.MINIFS(TripTable[Date],TripTable[Country],CountryTable[[#This Row],[Common Name]]),"MMM JJJJ"))</f>
        <v/>
      </c>
      <c r="I232" s="6" t="str">
        <f>IF(COUNTIFS(TripTable[Country],CountryTable[[#This Row],[Common Name]])=0,"",TEXT(_xlfn.MAXIFS(TripTable[Date],TripTable[Country],CountryTable[[#This Row],[Common Name]]),"MMM JJJJ"))</f>
        <v/>
      </c>
      <c r="J232" s="8" t="s">
        <v>235</v>
      </c>
      <c r="K232" s="6" t="e" vm="231">
        <f t="shared" si="7"/>
        <v>#VALUE!</v>
      </c>
    </row>
    <row r="233" spans="1:11" ht="39" customHeight="1" x14ac:dyDescent="0.2">
      <c r="A233" s="5" t="s">
        <v>946</v>
      </c>
      <c r="B233" s="6" t="s">
        <v>964</v>
      </c>
      <c r="C233" s="10" t="s">
        <v>965</v>
      </c>
      <c r="D233" s="9">
        <v>106977</v>
      </c>
      <c r="E233" s="9">
        <v>352</v>
      </c>
      <c r="F233" s="6" t="s">
        <v>1146</v>
      </c>
      <c r="G233" s="6" cm="1">
        <f t="array" ref="G2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3" s="6" t="str">
        <f>IF(COUNTIFS(TripTable[Country],CountryTable[[#This Row],[Common Name]])=0,"",TEXT(_xlfn.MINIFS(TripTable[Date],TripTable[Country],CountryTable[[#This Row],[Common Name]]),"MMM JJJJ"))</f>
        <v/>
      </c>
      <c r="I233" s="6" t="str">
        <f>IF(COUNTIFS(TripTable[Country],CountryTable[[#This Row],[Common Name]])=0,"",TEXT(_xlfn.MAXIFS(TripTable[Date],TripTable[Country],CountryTable[[#This Row],[Common Name]]),"MMM JJJJ"))</f>
        <v/>
      </c>
      <c r="J233" s="8" t="s">
        <v>1334</v>
      </c>
      <c r="K233" s="6" t="e" vm="232">
        <f t="shared" si="7"/>
        <v>#VALUE!</v>
      </c>
    </row>
    <row r="234" spans="1:11" ht="39" customHeight="1" x14ac:dyDescent="0.2">
      <c r="A234" s="5" t="s">
        <v>940</v>
      </c>
      <c r="B234" s="6" t="s">
        <v>953</v>
      </c>
      <c r="C234" s="10" t="s">
        <v>954</v>
      </c>
      <c r="D234" s="9">
        <v>3449299</v>
      </c>
      <c r="E234" s="9">
        <v>176220</v>
      </c>
      <c r="F234" s="6" t="s">
        <v>1141</v>
      </c>
      <c r="G234" s="6" cm="1">
        <f t="array" ref="G2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4" s="6" t="str">
        <f>IF(COUNTIFS(TripTable[Country],CountryTable[[#This Row],[Common Name]])=0,"",TEXT(_xlfn.MINIFS(TripTable[Date],TripTable[Country],CountryTable[[#This Row],[Common Name]]),"MMM JJJJ"))</f>
        <v/>
      </c>
      <c r="I234" s="6" t="str">
        <f>IF(COUNTIFS(TripTable[Country],CountryTable[[#This Row],[Common Name]])=0,"",TEXT(_xlfn.MAXIFS(TripTable[Date],TripTable[Country],CountryTable[[#This Row],[Common Name]]),"MMM JJJJ"))</f>
        <v/>
      </c>
      <c r="J234" s="8" t="s">
        <v>1335</v>
      </c>
      <c r="K234" s="6" t="e" vm="233">
        <f t="shared" si="7"/>
        <v>#VALUE!</v>
      </c>
    </row>
    <row r="235" spans="1:11" ht="39" customHeight="1" x14ac:dyDescent="0.2">
      <c r="A235" s="5" t="s">
        <v>941</v>
      </c>
      <c r="B235" s="6" t="s">
        <v>955</v>
      </c>
      <c r="C235" s="10" t="s">
        <v>956</v>
      </c>
      <c r="D235" s="9">
        <v>32955400</v>
      </c>
      <c r="E235" s="9">
        <v>447400</v>
      </c>
      <c r="F235" s="6" t="s">
        <v>1142</v>
      </c>
      <c r="G235" s="6" cm="1">
        <f t="array" ref="G2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5" s="6" t="str">
        <f>IF(COUNTIFS(TripTable[Country],CountryTable[[#This Row],[Common Name]])=0,"",TEXT(_xlfn.MINIFS(TripTable[Date],TripTable[Country],CountryTable[[#This Row],[Common Name]]),"MMM JJJJ"))</f>
        <v/>
      </c>
      <c r="I235" s="6" t="str">
        <f>IF(COUNTIFS(TripTable[Country],CountryTable[[#This Row],[Common Name]])=0,"",TEXT(_xlfn.MAXIFS(TripTable[Date],TripTable[Country],CountryTable[[#This Row],[Common Name]]),"MMM JJJJ"))</f>
        <v/>
      </c>
      <c r="J235" s="8" t="s">
        <v>1336</v>
      </c>
      <c r="K235" s="6" t="e" vm="234">
        <f t="shared" si="7"/>
        <v>#VALUE!</v>
      </c>
    </row>
    <row r="236" spans="1:11" ht="39" customHeight="1" x14ac:dyDescent="0.2">
      <c r="A236" s="5" t="s">
        <v>947</v>
      </c>
      <c r="B236" s="6" t="s">
        <v>966</v>
      </c>
      <c r="C236" s="10" t="s">
        <v>967</v>
      </c>
      <c r="D236" s="9">
        <v>292680</v>
      </c>
      <c r="E236" s="9">
        <v>12200</v>
      </c>
      <c r="F236" s="6" t="s">
        <v>1147</v>
      </c>
      <c r="G236" s="6" cm="1">
        <f t="array" ref="G2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6" s="6" t="str">
        <f>IF(COUNTIFS(TripTable[Country],CountryTable[[#This Row],[Common Name]])=0,"",TEXT(_xlfn.MINIFS(TripTable[Date],TripTable[Country],CountryTable[[#This Row],[Common Name]]),"MMM JJJJ"))</f>
        <v/>
      </c>
      <c r="I236" s="6" t="str">
        <f>IF(COUNTIFS(TripTable[Country],CountryTable[[#This Row],[Common Name]])=0,"",TEXT(_xlfn.MAXIFS(TripTable[Date],TripTable[Country],CountryTable[[#This Row],[Common Name]]),"MMM JJJJ"))</f>
        <v/>
      </c>
      <c r="J236" s="8" t="s">
        <v>1337</v>
      </c>
      <c r="K236" s="6" t="e" vm="235">
        <f t="shared" si="7"/>
        <v>#VALUE!</v>
      </c>
    </row>
    <row r="237" spans="1:11" ht="39" customHeight="1" x14ac:dyDescent="0.2">
      <c r="A237" s="5" t="s">
        <v>942</v>
      </c>
      <c r="B237" s="7" t="s">
        <v>1007</v>
      </c>
      <c r="C237" s="10" t="s">
        <v>958</v>
      </c>
      <c r="D237" s="9">
        <v>921</v>
      </c>
      <c r="E237" s="34">
        <v>0.5</v>
      </c>
      <c r="F237" s="6" t="s">
        <v>957</v>
      </c>
      <c r="G237" s="6" cm="1">
        <f t="array" ref="G23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7" s="6" t="str">
        <f>IF(COUNTIFS(TripTable[Country],CountryTable[[#This Row],[Common Name]])=0,"",TEXT(_xlfn.MINIFS(TripTable[Date],TripTable[Country],CountryTable[[#This Row],[Common Name]]),"MMM JJJJ"))</f>
        <v/>
      </c>
      <c r="I237" s="6" t="str">
        <f>IF(COUNTIFS(TripTable[Country],CountryTable[[#This Row],[Common Name]])=0,"",TEXT(_xlfn.MAXIFS(TripTable[Date],TripTable[Country],CountryTable[[#This Row],[Common Name]]),"MMM JJJJ"))</f>
        <v/>
      </c>
      <c r="J237" s="8" t="s">
        <v>1338</v>
      </c>
      <c r="K237" s="6" t="e" vm="236">
        <f t="shared" si="7"/>
        <v>#VALUE!</v>
      </c>
    </row>
    <row r="238" spans="1:11" ht="39" customHeight="1" x14ac:dyDescent="0.2">
      <c r="A238" s="5" t="s">
        <v>944</v>
      </c>
      <c r="B238" s="6" t="s">
        <v>960</v>
      </c>
      <c r="C238" s="10" t="s">
        <v>961</v>
      </c>
      <c r="D238" s="9">
        <v>28870195</v>
      </c>
      <c r="E238" s="9">
        <v>912050</v>
      </c>
      <c r="F238" s="6" t="s">
        <v>1144</v>
      </c>
      <c r="G238" s="6" cm="1">
        <f t="array" ref="G23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8" s="6" t="str">
        <f>IF(COUNTIFS(TripTable[Country],CountryTable[[#This Row],[Common Name]])=0,"",TEXT(_xlfn.MINIFS(TripTable[Date],TripTable[Country],CountryTable[[#This Row],[Common Name]]),"MMM JJJJ"))</f>
        <v/>
      </c>
      <c r="I238" s="6" t="str">
        <f>IF(COUNTIFS(TripTable[Country],CountryTable[[#This Row],[Common Name]])=0,"",TEXT(_xlfn.MAXIFS(TripTable[Date],TripTable[Country],CountryTable[[#This Row],[Common Name]]),"MMM JJJJ"))</f>
        <v/>
      </c>
      <c r="J238" s="8" t="s">
        <v>1339</v>
      </c>
      <c r="K238" s="6" t="e" vm="237">
        <f t="shared" si="7"/>
        <v>#VALUE!</v>
      </c>
    </row>
    <row r="239" spans="1:11" ht="39" customHeight="1" x14ac:dyDescent="0.2">
      <c r="A239" s="5" t="s">
        <v>187</v>
      </c>
      <c r="B239" s="6" t="s">
        <v>57</v>
      </c>
      <c r="C239" s="10" t="s">
        <v>307</v>
      </c>
      <c r="D239" s="9">
        <v>95540395</v>
      </c>
      <c r="E239" s="9">
        <v>329560</v>
      </c>
      <c r="F239" s="6" t="s">
        <v>171</v>
      </c>
      <c r="G239" s="6" cm="1">
        <f t="array" ref="G23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9" s="6" t="str">
        <f>IF(COUNTIFS(TripTable[Country],CountryTable[[#This Row],[Common Name]])=0,"",TEXT(_xlfn.MINIFS(TripTable[Date],TripTable[Country],CountryTable[[#This Row],[Common Name]]),"MMM JJJJ"))</f>
        <v/>
      </c>
      <c r="I239" s="6" t="str">
        <f>IF(COUNTIFS(TripTable[Country],CountryTable[[#This Row],[Common Name]])=0,"",TEXT(_xlfn.MAXIFS(TripTable[Date],TripTable[Country],CountryTable[[#This Row],[Common Name]]),"MMM JJJJ"))</f>
        <v/>
      </c>
      <c r="J239" s="8" t="s">
        <v>234</v>
      </c>
      <c r="K239" s="6" t="e" vm="238">
        <f t="shared" si="7"/>
        <v>#VALUE!</v>
      </c>
    </row>
    <row r="240" spans="1:11" ht="39" customHeight="1" x14ac:dyDescent="0.2">
      <c r="A240" s="5" t="s">
        <v>948</v>
      </c>
      <c r="B240" s="6" t="s">
        <v>968</v>
      </c>
      <c r="C240" s="10" t="s">
        <v>969</v>
      </c>
      <c r="D240" s="9">
        <v>16025</v>
      </c>
      <c r="E240" s="9">
        <v>274</v>
      </c>
      <c r="F240" s="6" t="s">
        <v>1148</v>
      </c>
      <c r="G240" s="6" cm="1">
        <f t="array" ref="G24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0" s="6" t="str">
        <f>IF(COUNTIFS(TripTable[Country],CountryTable[[#This Row],[Common Name]])=0,"",TEXT(_xlfn.MINIFS(TripTable[Date],TripTable[Country],CountryTable[[#This Row],[Common Name]]),"MMM JJJJ"))</f>
        <v/>
      </c>
      <c r="I240" s="6" t="str">
        <f>IF(COUNTIFS(TripTable[Country],CountryTable[[#This Row],[Common Name]])=0,"",TEXT(_xlfn.MAXIFS(TripTable[Date],TripTable[Country],CountryTable[[#This Row],[Common Name]]),"MMM JJJJ"))</f>
        <v/>
      </c>
      <c r="J240" s="8" t="s">
        <v>1340</v>
      </c>
      <c r="K240" s="6" t="e" vm="239">
        <f t="shared" si="7"/>
        <v>#VALUE!</v>
      </c>
    </row>
    <row r="241" spans="1:11" ht="39" customHeight="1" x14ac:dyDescent="0.2">
      <c r="A241" s="5" t="s">
        <v>592</v>
      </c>
      <c r="B241" s="6" t="s">
        <v>651</v>
      </c>
      <c r="C241" s="10" t="s">
        <v>652</v>
      </c>
      <c r="D241" s="9">
        <v>273008</v>
      </c>
      <c r="E241" s="9">
        <v>266000</v>
      </c>
      <c r="G241" s="6" cm="1">
        <f t="array" ref="G24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1" s="6" t="str">
        <f>IF(COUNTIFS(TripTable[Country],CountryTable[[#This Row],[Common Name]])=0,"",TEXT(_xlfn.MINIFS(TripTable[Date],TripTable[Country],CountryTable[[#This Row],[Common Name]]),"MMM JJJJ"))</f>
        <v/>
      </c>
      <c r="I241" s="6" t="str">
        <f>IF(COUNTIFS(TripTable[Country],CountryTable[[#This Row],[Common Name]])=0,"",TEXT(_xlfn.MAXIFS(TripTable[Date],TripTable[Country],CountryTable[[#This Row],[Common Name]]),"MMM JJJJ"))</f>
        <v/>
      </c>
      <c r="J241" s="8" t="s">
        <v>1341</v>
      </c>
      <c r="K241" s="6" t="e" vm="240">
        <f t="shared" si="7"/>
        <v>#VALUE!</v>
      </c>
    </row>
    <row r="242" spans="1:11" ht="39" customHeight="1" x14ac:dyDescent="0.2">
      <c r="A242" s="5" t="s">
        <v>972</v>
      </c>
      <c r="B242" s="6" t="s">
        <v>977</v>
      </c>
      <c r="C242" s="10" t="s">
        <v>978</v>
      </c>
      <c r="D242" s="9">
        <v>28498687</v>
      </c>
      <c r="E242" s="9">
        <v>527970</v>
      </c>
      <c r="F242" s="6" t="s">
        <v>1150</v>
      </c>
      <c r="G242" s="6" cm="1">
        <f t="array" ref="G2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2" s="6" t="str">
        <f>IF(COUNTIFS(TripTable[Country],CountryTable[[#This Row],[Common Name]])=0,"",TEXT(_xlfn.MINIFS(TripTable[Date],TripTable[Country],CountryTable[[#This Row],[Common Name]]),"MMM JJJJ"))</f>
        <v/>
      </c>
      <c r="I242" s="6" t="str">
        <f>IF(COUNTIFS(TripTable[Country],CountryTable[[#This Row],[Common Name]])=0,"",TEXT(_xlfn.MAXIFS(TripTable[Date],TripTable[Country],CountryTable[[#This Row],[Common Name]]),"MMM JJJJ"))</f>
        <v/>
      </c>
      <c r="J242" s="8" t="s">
        <v>1342</v>
      </c>
      <c r="K242" s="6" t="e" vm="241">
        <f t="shared" si="7"/>
        <v>#VALUE!</v>
      </c>
    </row>
    <row r="243" spans="1:11" ht="39" customHeight="1" x14ac:dyDescent="0.2">
      <c r="A243" s="5" t="s">
        <v>975</v>
      </c>
      <c r="B243" s="6" t="s">
        <v>983</v>
      </c>
      <c r="C243" s="10" t="s">
        <v>984</v>
      </c>
      <c r="D243" s="9">
        <v>17351822</v>
      </c>
      <c r="E243" s="9">
        <v>752614</v>
      </c>
      <c r="F243" s="6" t="s">
        <v>1153</v>
      </c>
      <c r="G243" s="6" cm="1">
        <f t="array" ref="G24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3" s="6" t="str">
        <f>IF(COUNTIFS(TripTable[Country],CountryTable[[#This Row],[Common Name]])=0,"",TEXT(_xlfn.MINIFS(TripTable[Date],TripTable[Country],CountryTable[[#This Row],[Common Name]]),"MMM JJJJ"))</f>
        <v/>
      </c>
      <c r="I243" s="6" t="str">
        <f>IF(COUNTIFS(TripTable[Country],CountryTable[[#This Row],[Common Name]])=0,"",TEXT(_xlfn.MAXIFS(TripTable[Date],TripTable[Country],CountryTable[[#This Row],[Common Name]]),"MMM JJJJ"))</f>
        <v/>
      </c>
      <c r="J243" s="8" t="s">
        <v>1343</v>
      </c>
      <c r="K243" s="6" t="e" vm="242">
        <f t="shared" si="7"/>
        <v>#VALUE!</v>
      </c>
    </row>
    <row r="244" spans="1:11" ht="39" customHeight="1" x14ac:dyDescent="0.2">
      <c r="A244" s="5" t="s">
        <v>976</v>
      </c>
      <c r="B244" s="6" t="s">
        <v>985</v>
      </c>
      <c r="C244" s="10" t="s">
        <v>986</v>
      </c>
      <c r="D244" s="9">
        <v>16868409</v>
      </c>
      <c r="E244" s="9">
        <v>390580</v>
      </c>
      <c r="F244" s="6" t="s">
        <v>1154</v>
      </c>
      <c r="G244" s="6" cm="1">
        <f t="array" ref="G2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4" s="6" t="str">
        <f>IF(COUNTIFS(TripTable[Country],CountryTable[[#This Row],[Common Name]])=0,"",TEXT(_xlfn.MINIFS(TripTable[Date],TripTable[Country],CountryTable[[#This Row],[Common Name]]),"MMM JJJJ"))</f>
        <v/>
      </c>
      <c r="I244" s="6" t="str">
        <f>IF(COUNTIFS(TripTable[Country],CountryTable[[#This Row],[Common Name]])=0,"",TEXT(_xlfn.MAXIFS(TripTable[Date],TripTable[Country],CountryTable[[#This Row],[Common Name]]),"MMM JJJJ"))</f>
        <v/>
      </c>
      <c r="J244" s="8" t="s">
        <v>1344</v>
      </c>
      <c r="K244" s="6" t="e" vm="243">
        <f t="shared" si="7"/>
        <v>#VALUE!</v>
      </c>
    </row>
  </sheetData>
  <conditionalFormatting sqref="A1:A1048576">
    <cfRule type="duplicateValues" dxfId="45" priority="1"/>
  </conditionalFormatting>
  <hyperlinks>
    <hyperlink ref="J15" r:id="rId1" xr:uid="{6B21FCCF-A455-4B04-8826-6BAE6FED8327}"/>
    <hyperlink ref="J22" r:id="rId2" xr:uid="{C14E8B4A-E503-4EA1-A9FB-7B090BDAB739}"/>
    <hyperlink ref="J28" r:id="rId3" xr:uid="{98B691E9-68E3-4E75-A659-7BAA90514E75}"/>
    <hyperlink ref="J37" r:id="rId4" xr:uid="{CC41C3D9-902A-45F4-BBF0-0C491E512262}"/>
    <hyperlink ref="J39" r:id="rId5" xr:uid="{DBD0FDA0-9ACF-4B90-B95D-C810D581466E}"/>
    <hyperlink ref="J53" r:id="rId6" xr:uid="{6F2CBEEB-7DB2-48DE-93A8-6A149CB45ECE}"/>
    <hyperlink ref="J58" r:id="rId7" xr:uid="{0CA144F0-3AE3-4868-92B4-864BBCAE9902}"/>
    <hyperlink ref="J75" r:id="rId8" xr:uid="{C218C036-5C0D-4A82-9A89-507AFAD0E6D9}"/>
    <hyperlink ref="J81" r:id="rId9" xr:uid="{351C3540-9BDD-4E45-81D2-BDAA7C0F6B5C}"/>
    <hyperlink ref="J83" r:id="rId10" xr:uid="{C529171F-7824-42EF-8239-DDF00304571D}"/>
    <hyperlink ref="J84" r:id="rId11" xr:uid="{F1966135-B2DA-4208-8FFD-22664F4EABAF}"/>
    <hyperlink ref="J96" r:id="rId12" xr:uid="{3E694EDC-D356-41A1-A4A0-A7B9CC9DA33A}"/>
    <hyperlink ref="J97" r:id="rId13" xr:uid="{971DD56F-1E26-470D-AF45-AC0002484ECD}"/>
    <hyperlink ref="J98" r:id="rId14" xr:uid="{025AAE7C-EA05-4AF9-A2AD-46B9369E8B94}"/>
    <hyperlink ref="J100" r:id="rId15" xr:uid="{A66D5673-560D-47DB-9ACB-87B11A068163}"/>
    <hyperlink ref="J103" r:id="rId16" xr:uid="{0045E6B9-72AF-46E7-B70A-7423C764A1B1}"/>
    <hyperlink ref="J106" r:id="rId17" xr:uid="{4881852B-1B6B-433E-BB1A-A6F22E324217}"/>
    <hyperlink ref="J109" r:id="rId18" xr:uid="{32068557-8965-405C-A487-963D464A3335}"/>
    <hyperlink ref="J117" r:id="rId19" xr:uid="{552D2155-47FD-4A94-A768-DD4D6B1C348B}"/>
    <hyperlink ref="J123" r:id="rId20" xr:uid="{6983EEC7-5F63-4036-A7AE-024A49DDA584}"/>
    <hyperlink ref="J125" r:id="rId21" xr:uid="{D1EC71ED-91F8-4BBD-A2CB-C9ACC1860EA4}"/>
    <hyperlink ref="J126" r:id="rId22" xr:uid="{EB9431D1-D0E6-4290-B0EE-2C28EB7A363C}"/>
    <hyperlink ref="J129" r:id="rId23" xr:uid="{DE29D8C7-698D-4274-89D4-EA40A29DA753}"/>
    <hyperlink ref="J132" r:id="rId24" xr:uid="{0F4C7D44-16AA-4252-82F4-B5AF2DFCAAFA}"/>
    <hyperlink ref="J138" r:id="rId25" xr:uid="{E9900634-6CA3-4DCA-8C96-E78BE8930F49}"/>
    <hyperlink ref="J140" r:id="rId26" xr:uid="{AB8C1633-F94E-4002-903B-7C4390E78231}"/>
    <hyperlink ref="J141" r:id="rId27" xr:uid="{3EB9EE45-8933-4A3B-BA3D-90A1E06615C8}"/>
    <hyperlink ref="J143" r:id="rId28" xr:uid="{F29E2487-BF58-4251-BE07-2B7B8262BEF6}"/>
    <hyperlink ref="J151" r:id="rId29" xr:uid="{30312A35-9EF5-4F51-9FDE-4D22E60CF980}"/>
    <hyperlink ref="J163" r:id="rId30" xr:uid="{E7C89954-7452-4FAC-A315-EF2E576798C2}"/>
    <hyperlink ref="J168" r:id="rId31" xr:uid="{1D5B5239-BF6D-4852-89BD-CBF6BA46893D}"/>
    <hyperlink ref="J172" r:id="rId32" xr:uid="{52367737-E611-44DC-BC72-42BCF2CE24ED}"/>
    <hyperlink ref="J174" r:id="rId33" xr:uid="{E1A11CCC-F0DD-4B02-83F7-8D1000DBD596}"/>
    <hyperlink ref="J175" r:id="rId34" xr:uid="{33ACF681-92E0-4939-8A43-45CD6A6E4040}"/>
    <hyperlink ref="J179" r:id="rId35" xr:uid="{ED7C4AAC-D7F8-4C1B-877F-40C1731FCE0B}"/>
    <hyperlink ref="J180" r:id="rId36" xr:uid="{69F1764A-0CF9-408E-97F0-F20D7B2765BE}"/>
    <hyperlink ref="J194" r:id="rId37" xr:uid="{829BC993-288E-419D-B4DD-349F4D54CCE1}"/>
    <hyperlink ref="J197" r:id="rId38" xr:uid="{9991A2E3-93BD-47A8-B6EC-881F09293AED}"/>
    <hyperlink ref="J199" r:id="rId39" xr:uid="{3AF1778C-8346-4906-90B2-5E520AFFB2B5}"/>
    <hyperlink ref="J200" r:id="rId40" xr:uid="{92B858E5-ED23-4623-9EE9-8D0AC8B147E6}"/>
    <hyperlink ref="J206" r:id="rId41" xr:uid="{C9312829-A518-4366-A7FB-343C3DD6A110}"/>
    <hyperlink ref="J211" r:id="rId42" xr:uid="{CBD6684F-1996-4410-A931-C3031C6E3BC2}"/>
    <hyperlink ref="J212" r:id="rId43" xr:uid="{5F132F90-D46B-4FED-ACFB-437287087D7A}"/>
    <hyperlink ref="J217" r:id="rId44" xr:uid="{9F99C309-1680-4A27-89B9-513C487AF20E}"/>
    <hyperlink ref="J224" r:id="rId45" xr:uid="{39D641D0-00E5-4CDC-AEFD-6993E5957956}"/>
    <hyperlink ref="J239" r:id="rId46" xr:uid="{AFEEA6B9-09FF-49D5-8FBB-478025B77902}"/>
    <hyperlink ref="J232" r:id="rId47" xr:uid="{1BE39A5B-EA2A-4CDC-AA5A-6FDF2065CCDC}"/>
    <hyperlink ref="J231" r:id="rId48" xr:uid="{8D75D4C7-D9C9-462D-948B-65DAF4E4772C}"/>
    <hyperlink ref="J230" r:id="rId49" xr:uid="{514FB71D-6943-4E80-ADA1-F265329C72A1}"/>
    <hyperlink ref="J214" r:id="rId50" xr:uid="{E8A0A17A-DF6C-4AA0-9DFC-01AD29A720E2}"/>
    <hyperlink ref="J204" r:id="rId51" xr:uid="{DCD9F4B3-6706-448F-BF1B-A6DE864D2E8C}"/>
    <hyperlink ref="J190" r:id="rId52" xr:uid="{116C2D28-5409-467D-8751-ECAE1E78254D}"/>
    <hyperlink ref="J161" r:id="rId53" xr:uid="{62E6372D-F57A-4007-8255-6BDB80411799}"/>
    <hyperlink ref="J153" r:id="rId54" xr:uid="{50E0D3ED-8169-44BB-8F46-63F7EF0D5EE2}"/>
    <hyperlink ref="J80" r:id="rId55" xr:uid="{ABB7227F-C654-4629-AC21-FBFFA5C5359E}"/>
    <hyperlink ref="J57" r:id="rId56" xr:uid="{6B2D709B-58EB-482D-946A-534CF13B32E8}"/>
    <hyperlink ref="J56" r:id="rId57" xr:uid="{C965962E-2495-4ADD-92D4-737D3643FC46}"/>
    <hyperlink ref="J52" r:id="rId58" xr:uid="{139F76D5-3C01-46E3-A18E-198DBBEC2213}"/>
    <hyperlink ref="J45" r:id="rId59" xr:uid="{8684359A-84DE-4990-BF40-2193F7FD7EA4}"/>
    <hyperlink ref="J2" r:id="rId60" xr:uid="{CE13B0A8-EF7D-4CB0-9CA4-39DC44B4A962}"/>
    <hyperlink ref="J3" r:id="rId61" xr:uid="{5BB9B6CC-E809-405A-B60C-FB97B71B3014}"/>
    <hyperlink ref="J4" r:id="rId62" xr:uid="{36A926D2-462C-47D8-81D5-A671207DB27C}"/>
    <hyperlink ref="J5" r:id="rId63" xr:uid="{4CE60BCB-5650-438A-B604-1E14F103C144}"/>
    <hyperlink ref="J6" r:id="rId64" xr:uid="{0C2A727E-A8A7-4525-8A73-4634726A8329}"/>
    <hyperlink ref="J7" r:id="rId65" xr:uid="{D2BCE821-ADEC-428C-A2B2-99B0FE537F39}"/>
    <hyperlink ref="J8" r:id="rId66" xr:uid="{A7139A2D-12CB-4811-B413-0BF106A5E0FC}"/>
    <hyperlink ref="J9" r:id="rId67" xr:uid="{DD3C2DF9-653D-4634-A176-12082C1618A4}"/>
    <hyperlink ref="J10" r:id="rId68" xr:uid="{6E6064F9-41A2-44E1-9B02-58E7FE4DB900}"/>
    <hyperlink ref="J11" r:id="rId69" xr:uid="{2A75D3C1-4F89-46F5-8644-22B02409AA54}"/>
    <hyperlink ref="J12" r:id="rId70" xr:uid="{DFF07416-D382-4317-8251-BDA97B2E53B1}"/>
    <hyperlink ref="J13" r:id="rId71" xr:uid="{2E01A84B-A56D-4FAA-87B9-FCB48124C0E5}"/>
    <hyperlink ref="J14" r:id="rId72" xr:uid="{2D33F8ED-3F35-4D0B-8BDA-A931AFB7D509}"/>
    <hyperlink ref="J16" r:id="rId73" xr:uid="{17B5089C-A3FC-48AC-8BBB-16E42BB1476F}"/>
    <hyperlink ref="J17" r:id="rId74" xr:uid="{209C2363-4E67-4D63-A4AB-D14403AD372E}"/>
    <hyperlink ref="J18" r:id="rId75" xr:uid="{6936EDFE-B523-4605-BEE6-707292DE3A2D}"/>
    <hyperlink ref="J19" r:id="rId76" xr:uid="{627B7F24-22C7-424E-8E01-FD6CC099CDAA}"/>
    <hyperlink ref="J20" r:id="rId77" xr:uid="{986CE6CD-A7E7-4425-9E16-27EE15C9B946}"/>
    <hyperlink ref="J21" r:id="rId78" xr:uid="{F54FA835-7CEE-4A9B-BA33-34BD5C7134D0}"/>
    <hyperlink ref="J23" r:id="rId79" xr:uid="{597FACBE-E846-42A7-80BE-FEF43947E835}"/>
    <hyperlink ref="J24" r:id="rId80" xr:uid="{3CCC1577-DF92-4ABD-A030-F84CE65D1610}"/>
    <hyperlink ref="J25" r:id="rId81" xr:uid="{9DE6B16C-F65A-4C7B-90C9-E9A455B2E3FB}"/>
    <hyperlink ref="J26" r:id="rId82" xr:uid="{11A17634-4D19-49C1-89F4-A08D6E2499E0}"/>
    <hyperlink ref="J27" r:id="rId83" xr:uid="{E463B5B0-92F2-4EB2-BBBA-6897F1D96F60}"/>
    <hyperlink ref="J29" r:id="rId84" xr:uid="{DBBA7A0C-5319-4E14-99B0-4862293D5ADA}"/>
    <hyperlink ref="J30" r:id="rId85" xr:uid="{D6B5C1D6-18E0-4547-BE9B-824AFD24F43E}"/>
    <hyperlink ref="J31" r:id="rId86" xr:uid="{4D293B2B-1005-43DD-B4D3-E3259501EACC}"/>
    <hyperlink ref="J32" r:id="rId87" xr:uid="{C30CA011-9EDC-46C3-8B9E-6C9D8F69EF30}"/>
    <hyperlink ref="J33" r:id="rId88" xr:uid="{A32F814D-9276-4A61-848D-DDDF42D86DD0}"/>
    <hyperlink ref="J34" r:id="rId89" xr:uid="{1C46CA05-0110-4B2D-BFBC-E6E07978E02B}"/>
    <hyperlink ref="J35" r:id="rId90" xr:uid="{2D13B055-3E17-4BD1-9DC9-96B89E0EC63B}"/>
    <hyperlink ref="J36" r:id="rId91" xr:uid="{C7D9E37B-5930-41C7-AB78-827A4415030A}"/>
    <hyperlink ref="J38" r:id="rId92" xr:uid="{08466F8D-E824-4BDF-8D24-336E4AF5DD30}"/>
    <hyperlink ref="J40" r:id="rId93" xr:uid="{AF080FB4-1F86-4CA5-BABF-3CA3017EA80D}"/>
    <hyperlink ref="J41" r:id="rId94" xr:uid="{07CD1214-3230-4710-B5B8-E79F45EC7216}"/>
    <hyperlink ref="J42" r:id="rId95" xr:uid="{C3DEA4BE-C1A0-4A39-8306-BB112E0062D3}"/>
    <hyperlink ref="J43" r:id="rId96" xr:uid="{553F1EA7-5200-47CA-A381-886085E70DA4}"/>
    <hyperlink ref="J44" r:id="rId97" xr:uid="{8AC766CE-60C8-4275-9D6F-2FC478BB7F89}"/>
    <hyperlink ref="J46" r:id="rId98" xr:uid="{3A23EF35-47A1-4217-BCE6-6DD0627556D1}"/>
    <hyperlink ref="J47" r:id="rId99" xr:uid="{87B69E90-D6EF-4F03-890E-8C0B183E57A1}"/>
    <hyperlink ref="J48" r:id="rId100" xr:uid="{93D3AA0E-860B-4339-B3D1-7351928B5AB8}"/>
    <hyperlink ref="J49" r:id="rId101" xr:uid="{6E17F82A-F761-488A-90C1-55D025EA1612}"/>
    <hyperlink ref="J50" r:id="rId102" xr:uid="{7A769BBE-7256-41D5-95EB-2AEC3A2407F3}"/>
    <hyperlink ref="J51" r:id="rId103" xr:uid="{B9CDC540-E0B0-4380-9F25-9ACED845180C}"/>
    <hyperlink ref="J54" r:id="rId104" xr:uid="{1C2A4F2C-E7DC-4D2E-A3A2-14B4ECD071B9}"/>
    <hyperlink ref="J55" r:id="rId105" xr:uid="{55918279-3A7B-4ED9-A15A-32F5A03690C5}"/>
    <hyperlink ref="J59" r:id="rId106" xr:uid="{39BB7C32-5EF2-4BED-A305-D855D87D0D27}"/>
    <hyperlink ref="J60" r:id="rId107" xr:uid="{E1BA7909-E573-499F-AE8A-E272EA1FA668}"/>
    <hyperlink ref="J61" r:id="rId108" xr:uid="{62173F77-B44E-4419-A3E9-D2DFE59F6D2A}"/>
    <hyperlink ref="J62" r:id="rId109" xr:uid="{0E2BD7F6-4A66-4599-8716-A577035FA7B0}"/>
    <hyperlink ref="J63" r:id="rId110" xr:uid="{EE8E42F6-069D-4252-8C0F-8FAE23DA6CAD}"/>
    <hyperlink ref="J64" r:id="rId111" xr:uid="{24FA407B-C568-454D-AE66-63129028C751}"/>
    <hyperlink ref="J65" r:id="rId112" xr:uid="{0AF92E83-104B-4960-AC7E-C48802233B04}"/>
    <hyperlink ref="J66" r:id="rId113" xr:uid="{EC7C2504-5A94-475C-810B-19BD9C311977}"/>
    <hyperlink ref="J67" r:id="rId114" xr:uid="{F7DC9BE0-98E5-4397-8275-EDEF9266B785}"/>
    <hyperlink ref="J68" r:id="rId115" xr:uid="{F072B1D4-C852-4D53-8F4A-CBDA8D0EF860}"/>
    <hyperlink ref="J69" r:id="rId116" xr:uid="{5628AF63-7BBD-4826-93A7-FEBD2A3461BF}"/>
    <hyperlink ref="J70" r:id="rId117" xr:uid="{693123A8-19DC-480A-91BD-827C8A93DE24}"/>
    <hyperlink ref="J71" r:id="rId118" xr:uid="{C9A03740-B4D9-463A-952C-2F7796482E93}"/>
    <hyperlink ref="J72" r:id="rId119" xr:uid="{29317B8D-D4DE-487B-BFE2-944227E4B9E2}"/>
    <hyperlink ref="J73" r:id="rId120" xr:uid="{30AFDEBA-5D0C-4420-9A71-7A4D5F1F539D}"/>
    <hyperlink ref="J74" r:id="rId121" xr:uid="{7903E53C-FE27-4155-BB01-8E96514CA23C}"/>
    <hyperlink ref="J76" r:id="rId122" xr:uid="{B87E5650-9B34-4854-8FC9-172051238F2A}"/>
    <hyperlink ref="J77" r:id="rId123" xr:uid="{219BA58E-9167-4400-8FDF-86991542B2AD}"/>
    <hyperlink ref="J78" r:id="rId124" xr:uid="{EAD3B062-5C33-41CD-9D27-FD6625C52FBE}"/>
    <hyperlink ref="J79" r:id="rId125" xr:uid="{0BE9CA33-BE7A-42DB-B425-E52F4D28EAD5}"/>
    <hyperlink ref="J82" r:id="rId126" xr:uid="{987C3C19-B2CF-411C-848A-25689BE00A0E}"/>
    <hyperlink ref="J85" r:id="rId127" xr:uid="{E4F3EDD2-9458-45C3-A6D1-CAD8A31F9DD5}"/>
    <hyperlink ref="J86" r:id="rId128" xr:uid="{D65C64B8-4C4E-4F5C-A273-1D238123F511}"/>
    <hyperlink ref="J87" r:id="rId129" xr:uid="{448DA3F7-9CF7-40E7-8DC5-5FFCFEE45F23}"/>
    <hyperlink ref="J88" r:id="rId130" xr:uid="{233E5261-71D8-452D-BE53-B1A50E5A8FF2}"/>
    <hyperlink ref="J89" r:id="rId131" xr:uid="{B74985BD-3201-4C13-826E-C04996D75011}"/>
    <hyperlink ref="J90" r:id="rId132" xr:uid="{BE589E43-4133-4F10-AC01-35D096EE51DC}"/>
    <hyperlink ref="J91" r:id="rId133" xr:uid="{7F3DFCC7-0087-44C5-A87C-916E550D2A49}"/>
    <hyperlink ref="J92" r:id="rId134" xr:uid="{B6445F91-54F2-4FDD-B3CF-9A9F9FAE9335}"/>
    <hyperlink ref="J93" r:id="rId135" xr:uid="{A4C05A8D-0E2F-404F-BF55-D8925F5D2A06}"/>
    <hyperlink ref="J94" r:id="rId136" xr:uid="{47C28760-AF05-43FC-9DF3-CF7AB7A0ACE7}"/>
    <hyperlink ref="J95" r:id="rId137" xr:uid="{E7C3F710-0BC6-47D5-9678-D08C39646476}"/>
    <hyperlink ref="J99" r:id="rId138" xr:uid="{63EF8F19-9820-4B8D-AC3C-9A3E867752D5}"/>
    <hyperlink ref="J101" r:id="rId139" xr:uid="{09DC7556-FAD0-4F12-9BBB-4C2D36B513E4}"/>
    <hyperlink ref="J102" r:id="rId140" xr:uid="{CECA639A-DD58-4444-8DB0-EF80447C4A10}"/>
    <hyperlink ref="J104" r:id="rId141" xr:uid="{50414725-73CE-43D6-B49C-19F19622CC76}"/>
    <hyperlink ref="J105" r:id="rId142" xr:uid="{8AD0791D-F905-46E1-896A-622944C5EBD3}"/>
    <hyperlink ref="J107" r:id="rId143" xr:uid="{0744F956-90D0-495E-B9A4-C11EFE6CF08E}"/>
    <hyperlink ref="J108" r:id="rId144" xr:uid="{E2CA0920-B65D-4DF1-8260-E810A06BA234}"/>
    <hyperlink ref="J110" r:id="rId145" xr:uid="{74D03BA5-3237-4A52-BF77-49A91E25189A}"/>
    <hyperlink ref="J111" r:id="rId146" xr:uid="{A32EE2BE-03C1-4868-AD73-DDBEF1967A6F}"/>
    <hyperlink ref="J112" r:id="rId147" xr:uid="{26BACA07-D3C3-41F0-A4A0-DD2AE4E4CA31}"/>
    <hyperlink ref="J113" r:id="rId148" xr:uid="{EF6977F0-3961-4A69-A4FE-C5BE85A7FA2D}"/>
    <hyperlink ref="J114" r:id="rId149" xr:uid="{65E1502C-BE91-4F46-B1C6-344EFAFF5F96}"/>
    <hyperlink ref="J115" r:id="rId150" xr:uid="{B3957F67-0578-4201-9785-A98D92AC78A7}"/>
    <hyperlink ref="J116" r:id="rId151" xr:uid="{3100BB09-98F7-4F22-A74A-A6A7DEE2F955}"/>
    <hyperlink ref="J118" r:id="rId152" xr:uid="{C4C21F8F-510F-47DF-990C-8DABA80F28C9}"/>
    <hyperlink ref="J119" r:id="rId153" xr:uid="{E0207FA9-5011-4315-ABA1-A6744CADD8B6}"/>
    <hyperlink ref="J120" r:id="rId154" xr:uid="{3291DE1E-B44E-496B-92E5-911936DC8639}"/>
    <hyperlink ref="J121" r:id="rId155" xr:uid="{4C345D06-D8F9-4F0F-A832-F976DAF128BC}"/>
    <hyperlink ref="J122" r:id="rId156" xr:uid="{C8B9BD5B-2E90-48B7-835D-D4B7294BF1A9}"/>
    <hyperlink ref="J124" r:id="rId157" xr:uid="{DD8647DE-64C9-4F80-9C07-DC2649057288}"/>
    <hyperlink ref="J127" r:id="rId158" xr:uid="{49FE83D3-1720-4B8B-8C9A-0C4DADC5FE1F}"/>
    <hyperlink ref="J128" r:id="rId159" xr:uid="{E1C16A2D-9B46-437D-A593-E33CC1DD4CF2}"/>
    <hyperlink ref="J130" r:id="rId160" xr:uid="{9EA817BD-68B0-4651-A394-D948F6DB56CB}"/>
    <hyperlink ref="J131" r:id="rId161" xr:uid="{2BFE5812-D9BC-49A9-9277-64E14E556987}"/>
    <hyperlink ref="J133" r:id="rId162" xr:uid="{32A3D055-A37E-4CA0-B3CE-A4E5F880AC5F}"/>
    <hyperlink ref="J134" r:id="rId163" xr:uid="{FFD3D464-5855-4098-B5B8-00D36BBCBB4F}"/>
    <hyperlink ref="J135" r:id="rId164" xr:uid="{9BDC8374-E698-4D7A-AD90-B32FC7B47AF0}"/>
    <hyperlink ref="J136" r:id="rId165" xr:uid="{F267D983-A50F-42C1-BEDB-BC83E890F3BE}"/>
    <hyperlink ref="J137" r:id="rId166" xr:uid="{C9E56D99-4DD2-4017-8EAF-BABEED58CE03}"/>
    <hyperlink ref="J139" r:id="rId167" xr:uid="{4DD485B1-84E5-4C89-9464-94EA78DC2BD0}"/>
    <hyperlink ref="J142" r:id="rId168" xr:uid="{D1D4638D-3D5E-4CBB-B386-41ADE67896EC}"/>
    <hyperlink ref="J144" r:id="rId169" xr:uid="{A2EE3B44-9B86-45C6-85E2-493096F56744}"/>
    <hyperlink ref="J145" r:id="rId170" xr:uid="{723DEB61-68C4-4DD0-B91B-069B54A24FF8}"/>
    <hyperlink ref="J146" r:id="rId171" xr:uid="{427EA518-E21E-49F7-AD66-754CDF1280C8}"/>
    <hyperlink ref="J147" r:id="rId172" xr:uid="{1DA546B1-5D07-40FD-8063-59DE4A25B246}"/>
    <hyperlink ref="J148" r:id="rId173" xr:uid="{4749636B-1FC6-4190-AC2D-3AFD4A75CD1A}"/>
    <hyperlink ref="J149" r:id="rId174" xr:uid="{566D36B0-C492-4D74-82A2-69C02EAED1C8}"/>
    <hyperlink ref="J150" r:id="rId175" xr:uid="{0DADE399-6DF0-4D7D-BCE2-E3450FEECB09}"/>
    <hyperlink ref="J152" r:id="rId176" xr:uid="{B2C267F8-1CEE-4CBF-AD8A-ECB2CB2AD738}"/>
    <hyperlink ref="J154" r:id="rId177" xr:uid="{451F3C18-4374-4A7F-815D-C81FB17982B4}"/>
    <hyperlink ref="J155" r:id="rId178" xr:uid="{777C8BF4-856C-463B-B387-C3EEF1078A31}"/>
    <hyperlink ref="J156" r:id="rId179" xr:uid="{B7DB2F8D-0802-4686-825E-3D7A082E82E1}"/>
    <hyperlink ref="J157" r:id="rId180" xr:uid="{0B56A4F8-2690-4233-94E2-0FCDF244DB03}"/>
    <hyperlink ref="J158" r:id="rId181" xr:uid="{0DDD0E0F-A7D9-45B4-8CEC-511187118F78}"/>
    <hyperlink ref="J159" r:id="rId182" xr:uid="{AEC198DE-93B9-4B52-8897-44AE429A401D}"/>
    <hyperlink ref="J160" r:id="rId183" xr:uid="{825D1B83-C9D1-4921-8CA9-56A01AEB46FA}"/>
    <hyperlink ref="J162" r:id="rId184" xr:uid="{D19917F8-D3D4-42E1-B5B6-AC8352FB584D}"/>
    <hyperlink ref="J164" r:id="rId185" xr:uid="{BD3641A8-9418-4474-8C83-8A3FB62700C7}"/>
    <hyperlink ref="J165" r:id="rId186" xr:uid="{71F36304-AE3A-4E63-A0F1-4690D07075EA}"/>
    <hyperlink ref="J166" r:id="rId187" xr:uid="{DFAE6411-310B-4C7D-A571-D1692260D8CD}"/>
    <hyperlink ref="J167" r:id="rId188" xr:uid="{BE36E9E6-4F20-4B4D-95C7-7F32CF1C6A71}"/>
    <hyperlink ref="J169" r:id="rId189" xr:uid="{C0FC4DB4-1DB2-45F6-B6AC-A42D2DCF2934}"/>
    <hyperlink ref="J170" r:id="rId190" xr:uid="{6137EE5B-B50F-4C6E-BC44-35E59E423D27}"/>
    <hyperlink ref="J171" r:id="rId191" xr:uid="{68ADAAC2-0609-4DE9-890B-B28EEA49879A}"/>
    <hyperlink ref="J173" r:id="rId192" xr:uid="{7B9D49F9-DB4C-4E72-8BA2-6DDB032552FA}"/>
    <hyperlink ref="J176" r:id="rId193" xr:uid="{BD591E3F-F277-4E8A-873C-25D02FA2D9B4}"/>
    <hyperlink ref="J177" r:id="rId194" xr:uid="{7AC54B6C-BA6B-44ED-AD6A-EC62E4EB0550}"/>
    <hyperlink ref="J178" r:id="rId195" xr:uid="{981C0ABB-0EE3-4E2D-818B-096156C73620}"/>
    <hyperlink ref="J181" r:id="rId196" xr:uid="{189F72E1-CF9B-47B5-87A3-C8C0D2C1EA82}"/>
    <hyperlink ref="J182" r:id="rId197" xr:uid="{8342985A-FE57-46FA-B61F-F765C2CC0673}"/>
    <hyperlink ref="J183" r:id="rId198" xr:uid="{2EB38DF2-A181-4339-8D79-EC0089AF6C32}"/>
    <hyperlink ref="J184" r:id="rId199" xr:uid="{2481FFD6-C09D-4302-B262-445BBF601171}"/>
    <hyperlink ref="J185" r:id="rId200" xr:uid="{B10FA0E5-94B2-434E-819D-44B9993932CD}"/>
    <hyperlink ref="J186" r:id="rId201" xr:uid="{989E1471-1E6E-42D7-ABEF-2C51BFCA684C}"/>
    <hyperlink ref="J187" r:id="rId202" xr:uid="{07A34585-3DF8-4ABD-AD9F-B2BC2672A208}"/>
    <hyperlink ref="J188" r:id="rId203" xr:uid="{F46D6011-03C9-4FDA-8022-2948B8DE65FB}"/>
    <hyperlink ref="J189" r:id="rId204" xr:uid="{FC7E14EE-4AEC-47B7-8AB7-B40E5D10F154}"/>
    <hyperlink ref="J191" r:id="rId205" xr:uid="{5C342562-E2CB-4FEB-BB2E-5674478F8EFB}"/>
    <hyperlink ref="J192" r:id="rId206" xr:uid="{19231D8B-6D81-44B7-9759-E5FAE1FA883A}"/>
    <hyperlink ref="J193" r:id="rId207" xr:uid="{F7329022-FF02-4ED0-BF00-E1B9FB7FB909}"/>
    <hyperlink ref="J195" r:id="rId208" xr:uid="{239A8BE3-89FD-4F35-9D57-6D80224B31C9}"/>
    <hyperlink ref="J196" r:id="rId209" xr:uid="{BBD65539-B629-49C2-B88C-10913483D956}"/>
    <hyperlink ref="J198" r:id="rId210" xr:uid="{7FEB9838-9ED0-4470-B5DA-43AE73123A7B}"/>
    <hyperlink ref="J201" r:id="rId211" xr:uid="{FA4201D3-4C6A-4686-BF6D-31289F8CE1D2}"/>
    <hyperlink ref="J202" r:id="rId212" xr:uid="{115AB74C-DC49-4824-A588-8D8EC04A8F56}"/>
    <hyperlink ref="J203" r:id="rId213" xr:uid="{545CA494-4734-4299-9315-799CF6FFD3C0}"/>
    <hyperlink ref="J205" r:id="rId214" xr:uid="{D4029E4A-7661-40DA-98A5-4FB71D2B55F1}"/>
    <hyperlink ref="J207" r:id="rId215" xr:uid="{888CF5CA-C907-4918-BCCB-610DDFA482B7}"/>
    <hyperlink ref="J208" r:id="rId216" xr:uid="{C640EF56-74B7-4F3D-9087-2DB0CFF6D4C6}"/>
    <hyperlink ref="J209" r:id="rId217" xr:uid="{3A8EE8D8-1B24-43DB-8AF7-AFB26432A12A}"/>
    <hyperlink ref="J210" r:id="rId218" xr:uid="{A7C2446A-E5EC-4A1C-BE6D-E3A3127FE21F}"/>
    <hyperlink ref="J213" r:id="rId219" xr:uid="{CA4C1EFF-CA98-4EFA-859E-2BC04B1EE548}"/>
    <hyperlink ref="J215" r:id="rId220" xr:uid="{171BB466-B3F0-449C-8CC2-A63289CA7AB8}"/>
    <hyperlink ref="J216" r:id="rId221" xr:uid="{8465A355-1462-4CA4-AE83-440211D47344}"/>
    <hyperlink ref="J218" r:id="rId222" xr:uid="{DD6558E4-D745-4962-A761-2EEDF8ACCCA3}"/>
    <hyperlink ref="J219" r:id="rId223" xr:uid="{80191A20-A50B-4753-8D58-DA4858756A85}"/>
    <hyperlink ref="J220" r:id="rId224" xr:uid="{9F630D21-CED4-4FF3-8838-E2E1FDEF2AD1}"/>
    <hyperlink ref="J221" r:id="rId225" xr:uid="{C6776615-E14E-42DE-83C3-CBB25AB9D92F}"/>
    <hyperlink ref="J222" r:id="rId226" xr:uid="{83877F0B-8B44-4A2D-BB43-730F9A9E04CF}"/>
    <hyperlink ref="J223" r:id="rId227" xr:uid="{E66A03AF-9A70-48FB-8963-C96FE91DDCAE}"/>
    <hyperlink ref="J225" r:id="rId228" xr:uid="{0FFDCA52-3070-4AE2-B807-175D8132D8A1}"/>
    <hyperlink ref="J226" r:id="rId229" xr:uid="{4A74C303-1CAB-4777-AAEE-A82793EDF826}"/>
    <hyperlink ref="J227" r:id="rId230" xr:uid="{B6A1302D-D32D-4561-98D6-9D83F73A7EF2}"/>
    <hyperlink ref="J228" r:id="rId231" xr:uid="{A6515698-1B6D-4412-AC20-4D05C4A9317C}"/>
    <hyperlink ref="J229" r:id="rId232" xr:uid="{860ACDB8-78FD-48FF-AC7B-7235D868F437}"/>
    <hyperlink ref="J233" r:id="rId233" xr:uid="{46BC02A1-8AAD-4DF7-B6D0-775763A94EFE}"/>
    <hyperlink ref="J234" r:id="rId234" xr:uid="{3BCCFF7A-C86D-4770-9B9C-5151F06A1F0E}"/>
    <hyperlink ref="J235" r:id="rId235" xr:uid="{2ED8C3E8-9237-4D8A-94C3-0295A113C198}"/>
    <hyperlink ref="J236" r:id="rId236" xr:uid="{A212033F-F13D-408D-9B9A-6EAFFAD04928}"/>
    <hyperlink ref="J237" r:id="rId237" xr:uid="{B6265A10-9BF9-468B-B2BB-5C527956F2BF}"/>
    <hyperlink ref="J238" r:id="rId238" xr:uid="{A228EE4E-5AE2-468D-A178-F5867A343AF0}"/>
    <hyperlink ref="J240" r:id="rId239" xr:uid="{E1F22BEB-B748-42A9-A7B9-0EBBC8C21EF7}"/>
    <hyperlink ref="J241" r:id="rId240" xr:uid="{4C785911-4A81-462B-9395-8674C43B4BD3}"/>
    <hyperlink ref="J242" r:id="rId241" xr:uid="{721BB0B3-BBC4-4BA6-8797-0D70863C8635}"/>
    <hyperlink ref="J243" r:id="rId242" xr:uid="{B438477E-289B-4C62-B2D7-9741CE7FB2BD}"/>
    <hyperlink ref="J244" r:id="rId243" xr:uid="{F9DAF690-28E1-4065-ACFD-E9620DA2197D}"/>
  </hyperlinks>
  <pageMargins left="0.7" right="0.7" top="0.78740157499999996" bottom="0.78740157499999996" header="0.3" footer="0.3"/>
  <tableParts count="1">
    <tablePart r:id="rId24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D3374-2A96-4654-9095-8718CE7ACE40}">
  <sheetPr codeName="Tabelle12">
    <tabColor theme="7" tint="0.39997558519241921"/>
  </sheetPr>
  <dimension ref="A1:G2"/>
  <sheetViews>
    <sheetView showOutlineSymbols="0" showWhiteSpace="0" workbookViewId="0">
      <pane ySplit="1" topLeftCell="A2" activePane="bottomLeft" state="frozen"/>
      <selection pane="bottomLeft" activeCell="A3" sqref="A3"/>
    </sheetView>
  </sheetViews>
  <sheetFormatPr baseColWidth="10" defaultRowHeight="12.75" x14ac:dyDescent="0.2"/>
  <cols>
    <col min="1" max="2" width="10.85546875" style="22"/>
    <col min="3" max="3" width="13.42578125" style="25" customWidth="1"/>
    <col min="4" max="4" width="29.42578125" style="22" customWidth="1"/>
    <col min="5" max="5" width="20.42578125" style="22" customWidth="1"/>
    <col min="6" max="6" width="28.140625" style="23" customWidth="1"/>
    <col min="7" max="7" width="26.85546875" style="23" customWidth="1"/>
    <col min="8" max="8" width="10.85546875" customWidth="1"/>
    <col min="11" max="11" width="10.85546875" customWidth="1"/>
  </cols>
  <sheetData>
    <row r="1" spans="1:7" x14ac:dyDescent="0.2">
      <c r="A1" s="20" t="s">
        <v>246</v>
      </c>
      <c r="B1" s="20" t="s">
        <v>58</v>
      </c>
      <c r="C1" s="24" t="s">
        <v>330</v>
      </c>
      <c r="D1" s="20" t="s">
        <v>247</v>
      </c>
      <c r="E1" s="20" t="s">
        <v>0</v>
      </c>
      <c r="F1" s="21" t="s">
        <v>79</v>
      </c>
      <c r="G1" s="21" t="s">
        <v>477</v>
      </c>
    </row>
    <row r="2" spans="1:7" x14ac:dyDescent="0.2">
      <c r="A2" s="20">
        <v>2026</v>
      </c>
      <c r="B2" s="22">
        <v>7</v>
      </c>
      <c r="C2" s="25">
        <f>DATE(TripTable[[#This Row],[Year]],TripTable[[#This Row],[Month]],1)</f>
        <v>46204</v>
      </c>
      <c r="D2" s="20" t="s">
        <v>1345</v>
      </c>
      <c r="E2" s="20" t="s">
        <v>2</v>
      </c>
      <c r="F2" s="21" t="s">
        <v>75</v>
      </c>
      <c r="G2" s="21" t="s">
        <v>1346</v>
      </c>
    </row>
  </sheetData>
  <phoneticPr fontId="6" type="noConversion"/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637E9-EDB3-45E3-8D0E-D05689944264}">
  <sheetPr codeName="Tabelle1">
    <tabColor theme="7" tint="0.79998168889431442"/>
  </sheetPr>
  <dimension ref="A1:E14"/>
  <sheetViews>
    <sheetView workbookViewId="0">
      <pane ySplit="1" topLeftCell="A2" activePane="bottomLeft" state="frozen"/>
      <selection pane="bottomLeft" activeCell="D13" sqref="D13"/>
    </sheetView>
  </sheetViews>
  <sheetFormatPr baseColWidth="10" defaultRowHeight="12.75" x14ac:dyDescent="0.2"/>
  <cols>
    <col min="1" max="1" width="9.28515625" style="6" bestFit="1" customWidth="1"/>
    <col min="2" max="2" width="15.28515625" style="6" bestFit="1" customWidth="1"/>
    <col min="3" max="3" width="19.42578125" style="6" bestFit="1" customWidth="1"/>
    <col min="4" max="4" width="32.5703125" style="22" customWidth="1"/>
    <col min="5" max="5" width="32.42578125" style="23" customWidth="1"/>
  </cols>
  <sheetData>
    <row r="1" spans="1:5" x14ac:dyDescent="0.2">
      <c r="A1" s="7" t="s">
        <v>246</v>
      </c>
      <c r="B1" s="7" t="s">
        <v>467</v>
      </c>
      <c r="C1" s="7" t="s">
        <v>469</v>
      </c>
      <c r="D1" s="20" t="s">
        <v>468</v>
      </c>
      <c r="E1" s="21" t="s">
        <v>466</v>
      </c>
    </row>
    <row r="2" spans="1:5" x14ac:dyDescent="0.2">
      <c r="A2" s="6">
        <v>2015</v>
      </c>
      <c r="B2" s="6" cm="1">
        <f t="array" ref="B2">IF(ByYearTable[[#This Row],[Countries]]="-",0,COUNTA(_xlfn.UNIQUE(_xlfn._xlws.FILTER(TripTable[Country], (TripTable[Year]=ByYearTable[[#This Row],[Year]])*(TripTable[Country]&lt;&gt;"")))))</f>
        <v>0</v>
      </c>
      <c r="C2" s="6" cm="1">
        <f t="array" ref="C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" s="23" t="str" cm="1">
        <f t="array" ref="D2">IFERROR(_xlfn.TEXTJOIN("; ", TRUE, _xlfn.UNIQUE(_xlfn._xlws.FILTER(TripTable[Country], (TripTable[Year]=ByYearTable[[#This Row],[Year]])*(TripTable[Country]&lt;&gt;"")))),"-")</f>
        <v>-</v>
      </c>
      <c r="E2" s="23" t="str" cm="1">
        <f t="array" ref="E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3" spans="1:5" x14ac:dyDescent="0.2">
      <c r="A3" s="6">
        <v>2016</v>
      </c>
      <c r="B3" s="6" cm="1">
        <f t="array" ref="B3">IF(ByYearTable[[#This Row],[Countries]]="-",0,COUNTA(_xlfn.UNIQUE(_xlfn._xlws.FILTER(TripTable[Country], (TripTable[Year]=ByYearTable[[#This Row],[Year]])*(TripTable[Country]&lt;&gt;"")))))</f>
        <v>0</v>
      </c>
      <c r="C3" s="6" cm="1">
        <f t="array" ref="C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3" s="23" t="str" cm="1">
        <f t="array" ref="D3">IFERROR(_xlfn.TEXTJOIN("; ", TRUE, _xlfn.UNIQUE(_xlfn._xlws.FILTER(TripTable[Country], (TripTable[Year]=ByYearTable[[#This Row],[Year]])*(TripTable[Country]&lt;&gt;"")))),"-")</f>
        <v>-</v>
      </c>
      <c r="E3" s="23" t="str" cm="1">
        <f t="array" ref="E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4" spans="1:5" x14ac:dyDescent="0.2">
      <c r="A4" s="6">
        <v>2017</v>
      </c>
      <c r="B4" s="6" cm="1">
        <f t="array" ref="B4">IF(ByYearTable[[#This Row],[Countries]]="-",0,COUNTA(_xlfn.UNIQUE(_xlfn._xlws.FILTER(TripTable[Country], (TripTable[Year]=ByYearTable[[#This Row],[Year]])*(TripTable[Country]&lt;&gt;"")))))</f>
        <v>0</v>
      </c>
      <c r="C4" s="6" cm="1">
        <f t="array" ref="C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4" s="23" t="str" cm="1">
        <f t="array" ref="D4">IFERROR(_xlfn.TEXTJOIN("; ", TRUE, _xlfn.UNIQUE(_xlfn._xlws.FILTER(TripTable[Country], (TripTable[Year]=ByYearTable[[#This Row],[Year]])*(TripTable[Country]&lt;&gt;"")))),"-")</f>
        <v>-</v>
      </c>
      <c r="E4" s="23" t="str" cm="1">
        <f t="array" ref="E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5" spans="1:5" x14ac:dyDescent="0.2">
      <c r="A5" s="6">
        <v>2018</v>
      </c>
      <c r="B5" s="6" cm="1">
        <f t="array" ref="B5">IF(ByYearTable[[#This Row],[Countries]]="-",0,COUNTA(_xlfn.UNIQUE(_xlfn._xlws.FILTER(TripTable[Country], (TripTable[Year]=ByYearTable[[#This Row],[Year]])*(TripTable[Country]&lt;&gt;"")))))</f>
        <v>0</v>
      </c>
      <c r="C5" s="6" cm="1">
        <f t="array" ref="C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5" s="23" t="str" cm="1">
        <f t="array" ref="D5">IFERROR(_xlfn.TEXTJOIN("; ", TRUE, _xlfn.UNIQUE(_xlfn._xlws.FILTER(TripTable[Country], (TripTable[Year]=ByYearTable[[#This Row],[Year]])*(TripTable[Country]&lt;&gt;"")))),"-")</f>
        <v>-</v>
      </c>
      <c r="E5" s="23" t="str" cm="1">
        <f t="array" ref="E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6" spans="1:5" x14ac:dyDescent="0.2">
      <c r="A6" s="6">
        <v>2019</v>
      </c>
      <c r="B6" s="6" cm="1">
        <f t="array" ref="B6">IF(ByYearTable[[#This Row],[Countries]]="-",0,COUNTA(_xlfn.UNIQUE(_xlfn._xlws.FILTER(TripTable[Country], (TripTable[Year]=ByYearTable[[#This Row],[Year]])*(TripTable[Country]&lt;&gt;"")))))</f>
        <v>0</v>
      </c>
      <c r="C6" s="6" cm="1">
        <f t="array" ref="C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6" s="23" t="str" cm="1">
        <f t="array" ref="D6">IFERROR(_xlfn.TEXTJOIN("; ", TRUE, _xlfn.UNIQUE(_xlfn._xlws.FILTER(TripTable[Country], (TripTable[Year]=ByYearTable[[#This Row],[Year]])*(TripTable[Country]&lt;&gt;"")))),"-")</f>
        <v>-</v>
      </c>
      <c r="E6" s="23" t="str" cm="1">
        <f t="array" ref="E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7" spans="1:5" x14ac:dyDescent="0.2">
      <c r="A7" s="6">
        <v>2020</v>
      </c>
      <c r="B7" s="6" cm="1">
        <f t="array" ref="B7">IF(ByYearTable[[#This Row],[Countries]]="-",0,COUNTA(_xlfn.UNIQUE(_xlfn._xlws.FILTER(TripTable[Country], (TripTable[Year]=ByYearTable[[#This Row],[Year]])*(TripTable[Country]&lt;&gt;"")))))</f>
        <v>0</v>
      </c>
      <c r="C7" s="6" cm="1">
        <f t="array" ref="C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7" s="23" t="str" cm="1">
        <f t="array" ref="D7">IFERROR(_xlfn.TEXTJOIN("; ", TRUE, _xlfn.UNIQUE(_xlfn._xlws.FILTER(TripTable[Country], (TripTable[Year]=ByYearTable[[#This Row],[Year]])*(TripTable[Country]&lt;&gt;"")))),"-")</f>
        <v>-</v>
      </c>
      <c r="E7" s="23" t="str" cm="1">
        <f t="array" ref="E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8" spans="1:5" x14ac:dyDescent="0.2">
      <c r="A8" s="6">
        <v>2021</v>
      </c>
      <c r="B8" s="6" cm="1">
        <f t="array" ref="B8">IF(ByYearTable[[#This Row],[Countries]]="-",0,COUNTA(_xlfn.UNIQUE(_xlfn._xlws.FILTER(TripTable[Country], (TripTable[Year]=ByYearTable[[#This Row],[Year]])*(TripTable[Country]&lt;&gt;"")))))</f>
        <v>0</v>
      </c>
      <c r="C8" s="6" cm="1">
        <f t="array" ref="C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8" s="23" t="str" cm="1">
        <f t="array" ref="D8">IFERROR(_xlfn.TEXTJOIN("; ", TRUE, _xlfn.UNIQUE(_xlfn._xlws.FILTER(TripTable[Country], (TripTable[Year]=ByYearTable[[#This Row],[Year]])*(TripTable[Country]&lt;&gt;"")))),"-")</f>
        <v>-</v>
      </c>
      <c r="E8" s="23" t="str" cm="1">
        <f t="array" ref="E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9" spans="1:5" x14ac:dyDescent="0.2">
      <c r="A9" s="6">
        <v>2022</v>
      </c>
      <c r="B9" s="6" cm="1">
        <f t="array" ref="B9">IF(ByYearTable[[#This Row],[Countries]]="-",0,COUNTA(_xlfn.UNIQUE(_xlfn._xlws.FILTER(TripTable[Country], (TripTable[Year]=ByYearTable[[#This Row],[Year]])*(TripTable[Country]&lt;&gt;"")))))</f>
        <v>0</v>
      </c>
      <c r="C9" s="6" cm="1">
        <f t="array" ref="C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9" s="23" t="str" cm="1">
        <f t="array" ref="D9">IFERROR(_xlfn.TEXTJOIN("; ", TRUE, _xlfn.UNIQUE(_xlfn._xlws.FILTER(TripTable[Country], (TripTable[Year]=ByYearTable[[#This Row],[Year]])*(TripTable[Country]&lt;&gt;"")))),"-")</f>
        <v>-</v>
      </c>
      <c r="E9" s="23" t="str" cm="1">
        <f t="array" ref="E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0" spans="1:5" x14ac:dyDescent="0.2">
      <c r="A10" s="6">
        <v>2023</v>
      </c>
      <c r="B10" s="6" cm="1">
        <f t="array" ref="B10">IF(ByYearTable[[#This Row],[Countries]]="-",0,COUNTA(_xlfn.UNIQUE(_xlfn._xlws.FILTER(TripTable[Country], (TripTable[Year]=ByYearTable[[#This Row],[Year]])*(TripTable[Country]&lt;&gt;"")))))</f>
        <v>0</v>
      </c>
      <c r="C10" s="6" cm="1">
        <f t="array" ref="C1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0" s="23" t="str" cm="1">
        <f t="array" ref="D10">IFERROR(_xlfn.TEXTJOIN("; ", TRUE, _xlfn.UNIQUE(_xlfn._xlws.FILTER(TripTable[Country], (TripTable[Year]=ByYearTable[[#This Row],[Year]])*(TripTable[Country]&lt;&gt;"")))),"-")</f>
        <v>-</v>
      </c>
      <c r="E10" s="23" t="str" cm="1">
        <f t="array" ref="E1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1" spans="1:5" x14ac:dyDescent="0.2">
      <c r="A11" s="6">
        <v>2024</v>
      </c>
      <c r="B11" s="6" cm="1">
        <f t="array" ref="B11">IF(ByYearTable[[#This Row],[Countries]]="-",0,COUNTA(_xlfn.UNIQUE(_xlfn._xlws.FILTER(TripTable[Country], (TripTable[Year]=ByYearTable[[#This Row],[Year]])*(TripTable[Country]&lt;&gt;"")))))</f>
        <v>0</v>
      </c>
      <c r="C11" s="6" cm="1">
        <f t="array" ref="C1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1" s="23" t="str" cm="1">
        <f t="array" ref="D11">IFERROR(_xlfn.TEXTJOIN("; ", TRUE, _xlfn.UNIQUE(_xlfn._xlws.FILTER(TripTable[Country], (TripTable[Year]=ByYearTable[[#This Row],[Year]])*(TripTable[Country]&lt;&gt;"")))),"-")</f>
        <v>-</v>
      </c>
      <c r="E11" s="23" t="str" cm="1">
        <f t="array" ref="E1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2" spans="1:5" x14ac:dyDescent="0.2">
      <c r="A12" s="6">
        <v>2025</v>
      </c>
      <c r="B12" s="6" cm="1">
        <f t="array" ref="B12">IF(ByYearTable[[#This Row],[Countries]]="-",0,COUNTA(_xlfn.UNIQUE(_xlfn._xlws.FILTER(TripTable[Country], (TripTable[Year]=ByYearTable[[#This Row],[Year]])*(TripTable[Country]&lt;&gt;"")))))</f>
        <v>0</v>
      </c>
      <c r="C12" s="6" cm="1">
        <f t="array" ref="C1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2" s="23" t="str" cm="1">
        <f t="array" ref="D12">IFERROR(_xlfn.TEXTJOIN("; ", TRUE, _xlfn.UNIQUE(_xlfn._xlws.FILTER(TripTable[Country], (TripTable[Year]=ByYearTable[[#This Row],[Year]])*(TripTable[Country]&lt;&gt;"")))),"-")</f>
        <v>-</v>
      </c>
      <c r="E12" s="23" t="str" cm="1">
        <f t="array" ref="E1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3" spans="1:5" x14ac:dyDescent="0.2">
      <c r="A13" s="6">
        <v>2026</v>
      </c>
      <c r="B13" s="6" cm="1">
        <f t="array" ref="B13">IF(ByYearTable[[#This Row],[Countries]]="-",0,COUNTA(_xlfn.UNIQUE(_xlfn._xlws.FILTER(TripTable[Country], (TripTable[Year]=ByYearTable[[#This Row],[Year]])*(TripTable[Country]&lt;&gt;"")))))</f>
        <v>1</v>
      </c>
      <c r="C13" s="6" cm="1">
        <f t="array" ref="C1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13" s="23" t="str" cm="1">
        <f t="array" ref="D13">IFERROR(_xlfn.TEXTJOIN("; ", TRUE, _xlfn.UNIQUE(_xlfn._xlws.FILTER(TripTable[Country], (TripTable[Year]=ByYearTable[[#This Row],[Year]])*(TripTable[Country]&lt;&gt;"")))),"-")</f>
        <v>Austria</v>
      </c>
      <c r="E13" s="23" t="str" cm="1">
        <f t="array" ref="E1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Austria</v>
      </c>
    </row>
    <row r="14" spans="1:5" x14ac:dyDescent="0.2">
      <c r="A14" s="6">
        <v>2027</v>
      </c>
      <c r="B14" s="6" cm="1">
        <f t="array" ref="B14">IF(ByYearTable[[#This Row],[Countries]]="-",0,COUNTA(_xlfn.UNIQUE(_xlfn._xlws.FILTER(TripTable[Country], (TripTable[Year]=ByYearTable[[#This Row],[Year]])*(TripTable[Country]&lt;&gt;"")))))</f>
        <v>0</v>
      </c>
      <c r="C14" s="6" cm="1">
        <f t="array" ref="C1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4" s="23" t="str" cm="1">
        <f t="array" ref="D14">IFERROR(_xlfn.TEXTJOIN("; ", TRUE, _xlfn.UNIQUE(_xlfn._xlws.FILTER(TripTable[Country], (TripTable[Year]=ByYearTable[[#This Row],[Year]])*(TripTable[Country]&lt;&gt;"")))),"-")</f>
        <v>-</v>
      </c>
      <c r="E14" s="23" t="str" cm="1">
        <f t="array" ref="E1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87190-7CF5-4F5A-9B37-35008F99E7C9}">
  <sheetPr codeName="Tabelle3">
    <tabColor theme="4" tint="-0.499984740745262"/>
  </sheetPr>
  <dimension ref="A1:I3"/>
  <sheetViews>
    <sheetView showOutlineSymbols="0" showWhiteSpace="0" zoomScale="90" zoomScaleNormal="90" workbookViewId="0">
      <pane ySplit="1" topLeftCell="A2" activePane="bottomLeft" state="frozen"/>
      <selection pane="bottomLeft" activeCell="A3" sqref="A3"/>
    </sheetView>
  </sheetViews>
  <sheetFormatPr baseColWidth="10" defaultRowHeight="12.75" x14ac:dyDescent="0.2"/>
  <cols>
    <col min="1" max="1" width="18.85546875" style="6" bestFit="1" customWidth="1"/>
    <col min="2" max="2" width="40.85546875" style="6" customWidth="1"/>
    <col min="3" max="3" width="9.85546875" style="6" bestFit="1" customWidth="1"/>
    <col min="4" max="4" width="15.140625" style="6" bestFit="1" customWidth="1"/>
    <col min="5" max="5" width="8.42578125" style="12" bestFit="1" customWidth="1"/>
    <col min="6" max="6" width="9" style="12" bestFit="1" customWidth="1"/>
    <col min="7" max="7" width="15.42578125" style="6" bestFit="1" customWidth="1"/>
    <col min="8" max="8" width="12.42578125" style="6" bestFit="1" customWidth="1"/>
    <col min="9" max="9" width="63.85546875" style="14" bestFit="1" customWidth="1"/>
  </cols>
  <sheetData>
    <row r="1" spans="1:9" x14ac:dyDescent="0.2">
      <c r="A1" s="7" t="s">
        <v>79</v>
      </c>
      <c r="B1" s="7" t="s">
        <v>80</v>
      </c>
      <c r="C1" s="7" t="s">
        <v>249</v>
      </c>
      <c r="D1" s="7" t="s">
        <v>316</v>
      </c>
      <c r="E1" s="11" t="s">
        <v>162</v>
      </c>
      <c r="F1" s="11" t="s">
        <v>173</v>
      </c>
      <c r="G1" s="7" t="s">
        <v>411</v>
      </c>
      <c r="H1" s="7" t="s">
        <v>412</v>
      </c>
      <c r="I1" s="5" t="s">
        <v>177</v>
      </c>
    </row>
    <row r="2" spans="1:9" x14ac:dyDescent="0.2">
      <c r="A2" s="7" t="s">
        <v>75</v>
      </c>
      <c r="B2" s="6" t="s">
        <v>317</v>
      </c>
      <c r="C2" s="6" t="s">
        <v>85</v>
      </c>
      <c r="D2" s="6" t="s">
        <v>166</v>
      </c>
      <c r="E2" s="12">
        <v>48.110298156699997</v>
      </c>
      <c r="F2" s="12">
        <v>16.569700241100001</v>
      </c>
      <c r="G2" s="6">
        <f>COUNTIF(Flights!D:D,AirportTable[[#This Row],[IATA Code]])</f>
        <v>1</v>
      </c>
      <c r="H2" s="6">
        <f>COUNTIF(Flights!E:E,AirportTable[[#This Row],[IATA Code]])</f>
        <v>1</v>
      </c>
      <c r="I2" s="13" t="s">
        <v>321</v>
      </c>
    </row>
    <row r="3" spans="1:9" x14ac:dyDescent="0.2">
      <c r="A3" s="7" t="s">
        <v>71</v>
      </c>
      <c r="B3" s="6" t="s">
        <v>318</v>
      </c>
      <c r="C3" s="6" t="s">
        <v>157</v>
      </c>
      <c r="D3" s="6" t="s">
        <v>168</v>
      </c>
      <c r="E3" s="12">
        <v>51.884998321499999</v>
      </c>
      <c r="F3" s="12">
        <v>0.23499999939999999</v>
      </c>
      <c r="G3" s="6">
        <f>COUNTIF(Flights!D:D,AirportTable[[#This Row],[IATA Code]])</f>
        <v>1</v>
      </c>
      <c r="H3" s="6">
        <f>COUNTIF(Flights!E:E,AirportTable[[#This Row],[IATA Code]])</f>
        <v>1</v>
      </c>
      <c r="I3" s="13" t="s">
        <v>322</v>
      </c>
    </row>
  </sheetData>
  <hyperlinks>
    <hyperlink ref="I2" r:id="rId1" xr:uid="{F61B6FC4-1183-49D9-8D37-7FA60C1DEC13}"/>
    <hyperlink ref="I3" r:id="rId2" xr:uid="{809675E4-D793-4848-A494-BAF9820634D8}"/>
  </hyperlinks>
  <pageMargins left="0.7" right="0.7" top="0.78740157499999996" bottom="0.78740157499999996" header="0.3" footer="0.3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E8427-E829-498E-A5A6-BA97DFDBFCFA}">
  <sheetPr codeName="Tabelle2">
    <tabColor theme="4" tint="-0.249977111117893"/>
  </sheetPr>
  <dimension ref="A1:L3"/>
  <sheetViews>
    <sheetView showOutlineSymbols="0" showWhiteSpace="0" workbookViewId="0">
      <pane ySplit="1" topLeftCell="A2" activePane="bottomLeft" state="frozen"/>
      <selection pane="bottomLeft" activeCell="B4" sqref="B4"/>
    </sheetView>
  </sheetViews>
  <sheetFormatPr baseColWidth="10" defaultRowHeight="12.75" x14ac:dyDescent="0.2"/>
  <cols>
    <col min="1" max="1" width="10.85546875" style="16"/>
    <col min="2" max="2" width="7.42578125" bestFit="1" customWidth="1"/>
    <col min="3" max="3" width="8.85546875" bestFit="1" customWidth="1"/>
    <col min="4" max="4" width="13.7109375" bestFit="1" customWidth="1"/>
    <col min="5" max="5" width="18.42578125" bestFit="1" customWidth="1"/>
    <col min="6" max="6" width="15.7109375" bestFit="1" customWidth="1"/>
    <col min="7" max="7" width="16.7109375" bestFit="1" customWidth="1"/>
    <col min="8" max="8" width="17.85546875" bestFit="1" customWidth="1"/>
    <col min="9" max="9" width="21.140625" bestFit="1" customWidth="1"/>
    <col min="10" max="10" width="16" bestFit="1" customWidth="1"/>
    <col min="11" max="11" width="11.42578125" customWidth="1"/>
    <col min="12" max="12" width="31" customWidth="1"/>
  </cols>
  <sheetData>
    <row r="1" spans="1:12" x14ac:dyDescent="0.2">
      <c r="A1" s="15" t="s">
        <v>330</v>
      </c>
      <c r="B1" s="2" t="s">
        <v>246</v>
      </c>
      <c r="C1" s="2" t="s">
        <v>58</v>
      </c>
      <c r="D1" s="2" t="s">
        <v>310</v>
      </c>
      <c r="E1" s="2" t="s">
        <v>311</v>
      </c>
      <c r="F1" s="2" t="s">
        <v>312</v>
      </c>
      <c r="G1" s="2" t="s">
        <v>313</v>
      </c>
      <c r="H1" s="2" t="s">
        <v>314</v>
      </c>
      <c r="I1" s="2" t="s">
        <v>315</v>
      </c>
      <c r="J1" s="2" t="s">
        <v>323</v>
      </c>
      <c r="K1" s="2" t="s">
        <v>331</v>
      </c>
      <c r="L1" s="2" t="s">
        <v>247</v>
      </c>
    </row>
    <row r="2" spans="1:12" x14ac:dyDescent="0.2">
      <c r="A2" s="16">
        <f>DATE(FlightTable[[#This Row],[Year]],FlightTable[[#This Row],[Month]],1)</f>
        <v>46204</v>
      </c>
      <c r="B2" s="2">
        <v>2026</v>
      </c>
      <c r="C2">
        <v>7</v>
      </c>
      <c r="D2" s="2" t="s">
        <v>168</v>
      </c>
      <c r="E2" s="2" t="s">
        <v>166</v>
      </c>
      <c r="F2" s="2" t="s">
        <v>71</v>
      </c>
      <c r="G2" s="2" t="s">
        <v>75</v>
      </c>
      <c r="H2" s="2" t="s">
        <v>55</v>
      </c>
      <c r="I2" s="2" t="s">
        <v>2</v>
      </c>
      <c r="J2" s="2" t="s">
        <v>1347</v>
      </c>
      <c r="K2" s="2" t="s">
        <v>348</v>
      </c>
      <c r="L2" s="2" t="s">
        <v>1345</v>
      </c>
    </row>
    <row r="3" spans="1:12" x14ac:dyDescent="0.2">
      <c r="A3" s="16">
        <f>DATE(FlightTable[[#This Row],[Year]],FlightTable[[#This Row],[Month]],1)</f>
        <v>46204</v>
      </c>
      <c r="B3" s="2">
        <v>2026</v>
      </c>
      <c r="C3">
        <v>7</v>
      </c>
      <c r="D3" s="2" t="s">
        <v>166</v>
      </c>
      <c r="E3" s="2" t="s">
        <v>168</v>
      </c>
      <c r="F3" s="2" t="s">
        <v>75</v>
      </c>
      <c r="G3" s="2" t="s">
        <v>71</v>
      </c>
      <c r="H3" s="2" t="s">
        <v>2</v>
      </c>
      <c r="I3" s="2" t="s">
        <v>55</v>
      </c>
      <c r="J3" s="2" t="s">
        <v>1347</v>
      </c>
      <c r="K3" s="2" t="s">
        <v>348</v>
      </c>
      <c r="L3" s="2" t="s">
        <v>1345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2576E-87E9-4E9C-A6EE-6913E8FE23FC}">
  <sheetPr codeName="Tabelle8">
    <tabColor theme="4" tint="0.39997558519241921"/>
  </sheetPr>
  <dimension ref="A1:G35"/>
  <sheetViews>
    <sheetView workbookViewId="0">
      <pane ySplit="1" topLeftCell="A2" activePane="bottomLeft" state="frozen"/>
      <selection pane="bottomLeft" activeCell="C8" sqref="C8"/>
    </sheetView>
  </sheetViews>
  <sheetFormatPr baseColWidth="10" defaultRowHeight="12.75" x14ac:dyDescent="0.2"/>
  <cols>
    <col min="3" max="3" width="23.42578125" bestFit="1" customWidth="1"/>
    <col min="4" max="4" width="17.85546875" bestFit="1" customWidth="1"/>
    <col min="5" max="5" width="16.42578125" customWidth="1"/>
    <col min="6" max="6" width="20.5703125" customWidth="1"/>
  </cols>
  <sheetData>
    <row r="1" spans="1:7" x14ac:dyDescent="0.2">
      <c r="A1" t="s">
        <v>332</v>
      </c>
      <c r="B1" t="s">
        <v>331</v>
      </c>
      <c r="C1" t="s">
        <v>172</v>
      </c>
      <c r="D1" t="s">
        <v>0</v>
      </c>
      <c r="E1" s="2" t="s">
        <v>391</v>
      </c>
      <c r="F1" t="s">
        <v>422</v>
      </c>
    </row>
    <row r="2" spans="1:7" x14ac:dyDescent="0.2">
      <c r="A2" t="s">
        <v>333</v>
      </c>
      <c r="B2" t="s">
        <v>334</v>
      </c>
      <c r="C2" t="s">
        <v>326</v>
      </c>
      <c r="D2" t="s">
        <v>14</v>
      </c>
      <c r="E2" t="s">
        <v>108</v>
      </c>
      <c r="F2" s="17" t="s">
        <v>425</v>
      </c>
      <c r="G2" t="s">
        <v>423</v>
      </c>
    </row>
    <row r="3" spans="1:7" x14ac:dyDescent="0.2">
      <c r="A3" t="s">
        <v>92</v>
      </c>
      <c r="B3" t="s">
        <v>335</v>
      </c>
      <c r="C3" t="s">
        <v>336</v>
      </c>
      <c r="D3" t="s">
        <v>6</v>
      </c>
      <c r="E3" t="s">
        <v>67</v>
      </c>
      <c r="F3" s="17" t="s">
        <v>426</v>
      </c>
      <c r="G3" t="s">
        <v>423</v>
      </c>
    </row>
    <row r="4" spans="1:7" x14ac:dyDescent="0.2">
      <c r="A4" t="s">
        <v>338</v>
      </c>
      <c r="B4" t="s">
        <v>337</v>
      </c>
      <c r="C4" t="s">
        <v>324</v>
      </c>
      <c r="D4" t="s">
        <v>48</v>
      </c>
      <c r="E4" t="s">
        <v>144</v>
      </c>
      <c r="F4" s="17" t="s">
        <v>427</v>
      </c>
      <c r="G4" t="s">
        <v>423</v>
      </c>
    </row>
    <row r="5" spans="1:7" x14ac:dyDescent="0.2">
      <c r="A5" t="s">
        <v>341</v>
      </c>
      <c r="B5" t="s">
        <v>340</v>
      </c>
      <c r="C5" t="s">
        <v>339</v>
      </c>
      <c r="D5" t="s">
        <v>2</v>
      </c>
      <c r="E5" t="s">
        <v>75</v>
      </c>
      <c r="F5" s="17" t="s">
        <v>428</v>
      </c>
      <c r="G5" t="s">
        <v>423</v>
      </c>
    </row>
    <row r="6" spans="1:7" x14ac:dyDescent="0.2">
      <c r="A6" t="s">
        <v>342</v>
      </c>
      <c r="B6" t="s">
        <v>343</v>
      </c>
      <c r="C6" t="s">
        <v>325</v>
      </c>
      <c r="D6" t="s">
        <v>36</v>
      </c>
      <c r="E6" t="s">
        <v>174</v>
      </c>
      <c r="F6" s="17" t="s">
        <v>429</v>
      </c>
      <c r="G6" t="s">
        <v>423</v>
      </c>
    </row>
    <row r="7" spans="1:7" x14ac:dyDescent="0.2">
      <c r="A7" t="s">
        <v>344</v>
      </c>
      <c r="B7" t="s">
        <v>345</v>
      </c>
      <c r="C7" t="s">
        <v>327</v>
      </c>
      <c r="D7" t="s">
        <v>28</v>
      </c>
      <c r="E7" t="s">
        <v>346</v>
      </c>
      <c r="F7" s="17" t="s">
        <v>430</v>
      </c>
      <c r="G7" t="s">
        <v>423</v>
      </c>
    </row>
    <row r="8" spans="1:7" x14ac:dyDescent="0.2">
      <c r="A8" t="s">
        <v>103</v>
      </c>
      <c r="B8" t="s">
        <v>348</v>
      </c>
      <c r="C8" t="s">
        <v>347</v>
      </c>
      <c r="D8" t="s">
        <v>19</v>
      </c>
      <c r="E8" t="s">
        <v>60</v>
      </c>
      <c r="F8" s="17" t="s">
        <v>424</v>
      </c>
      <c r="G8" t="s">
        <v>423</v>
      </c>
    </row>
    <row r="9" spans="1:7" x14ac:dyDescent="0.2">
      <c r="A9" t="s">
        <v>350</v>
      </c>
      <c r="B9" t="s">
        <v>351</v>
      </c>
      <c r="C9" t="s">
        <v>349</v>
      </c>
      <c r="D9" t="s">
        <v>14</v>
      </c>
      <c r="E9" t="s">
        <v>319</v>
      </c>
      <c r="F9" s="17" t="s">
        <v>431</v>
      </c>
      <c r="G9" t="s">
        <v>423</v>
      </c>
    </row>
    <row r="10" spans="1:7" x14ac:dyDescent="0.2">
      <c r="A10" t="s">
        <v>415</v>
      </c>
      <c r="B10" t="s">
        <v>365</v>
      </c>
      <c r="C10" t="s">
        <v>364</v>
      </c>
      <c r="D10" t="s">
        <v>14</v>
      </c>
      <c r="E10" t="s">
        <v>416</v>
      </c>
      <c r="F10" s="17" t="s">
        <v>432</v>
      </c>
      <c r="G10" t="s">
        <v>423</v>
      </c>
    </row>
    <row r="11" spans="1:7" x14ac:dyDescent="0.2">
      <c r="A11" t="s">
        <v>353</v>
      </c>
      <c r="B11" t="s">
        <v>354</v>
      </c>
      <c r="C11" t="s">
        <v>352</v>
      </c>
      <c r="D11" t="s">
        <v>38</v>
      </c>
      <c r="E11" t="s">
        <v>69</v>
      </c>
      <c r="F11" s="17" t="s">
        <v>433</v>
      </c>
      <c r="G11" t="s">
        <v>423</v>
      </c>
    </row>
    <row r="12" spans="1:7" x14ac:dyDescent="0.2">
      <c r="A12" s="2" t="s">
        <v>355</v>
      </c>
      <c r="B12" s="2" t="s">
        <v>356</v>
      </c>
      <c r="C12" s="2" t="s">
        <v>357</v>
      </c>
      <c r="D12" s="2" t="s">
        <v>55</v>
      </c>
      <c r="E12" s="2" t="s">
        <v>158</v>
      </c>
      <c r="F12" s="17" t="s">
        <v>434</v>
      </c>
      <c r="G12" t="s">
        <v>423</v>
      </c>
    </row>
    <row r="13" spans="1:7" x14ac:dyDescent="0.2">
      <c r="A13" s="2" t="s">
        <v>359</v>
      </c>
      <c r="B13" s="2" t="s">
        <v>54</v>
      </c>
      <c r="C13" s="2" t="s">
        <v>358</v>
      </c>
      <c r="D13" s="2" t="s">
        <v>156</v>
      </c>
      <c r="E13" s="2" t="s">
        <v>65</v>
      </c>
      <c r="F13" s="17" t="s">
        <v>435</v>
      </c>
      <c r="G13" t="s">
        <v>423</v>
      </c>
    </row>
    <row r="14" spans="1:7" x14ac:dyDescent="0.2">
      <c r="A14" s="2" t="s">
        <v>362</v>
      </c>
      <c r="B14" s="2" t="s">
        <v>361</v>
      </c>
      <c r="C14" s="2" t="s">
        <v>360</v>
      </c>
      <c r="D14" s="2" t="s">
        <v>56</v>
      </c>
      <c r="E14" s="2" t="s">
        <v>169</v>
      </c>
      <c r="F14" s="17" t="s">
        <v>436</v>
      </c>
      <c r="G14" t="s">
        <v>423</v>
      </c>
    </row>
    <row r="15" spans="1:7" x14ac:dyDescent="0.2">
      <c r="A15" s="2" t="s">
        <v>368</v>
      </c>
      <c r="B15" s="2" t="s">
        <v>367</v>
      </c>
      <c r="C15" s="2" t="s">
        <v>366</v>
      </c>
      <c r="D15" s="2" t="s">
        <v>56</v>
      </c>
      <c r="E15" s="2" t="s">
        <v>170</v>
      </c>
      <c r="F15" s="17" t="s">
        <v>437</v>
      </c>
      <c r="G15" t="s">
        <v>423</v>
      </c>
    </row>
    <row r="16" spans="1:7" x14ac:dyDescent="0.2">
      <c r="A16" s="2" t="s">
        <v>153</v>
      </c>
      <c r="B16" s="2" t="s">
        <v>370</v>
      </c>
      <c r="C16" s="2" t="s">
        <v>369</v>
      </c>
      <c r="D16" s="2" t="s">
        <v>44</v>
      </c>
      <c r="E16" s="2" t="s">
        <v>44</v>
      </c>
      <c r="F16" s="17" t="s">
        <v>438</v>
      </c>
      <c r="G16" t="s">
        <v>423</v>
      </c>
    </row>
    <row r="17" spans="1:7" x14ac:dyDescent="0.2">
      <c r="A17" s="2" t="s">
        <v>373</v>
      </c>
      <c r="B17" s="2" t="s">
        <v>372</v>
      </c>
      <c r="C17" s="2" t="s">
        <v>371</v>
      </c>
      <c r="D17" s="2" t="s">
        <v>26</v>
      </c>
      <c r="E17" s="2" t="s">
        <v>116</v>
      </c>
      <c r="F17" s="17" t="s">
        <v>439</v>
      </c>
      <c r="G17" t="s">
        <v>423</v>
      </c>
    </row>
    <row r="18" spans="1:7" x14ac:dyDescent="0.2">
      <c r="A18" s="2" t="s">
        <v>374</v>
      </c>
      <c r="B18" s="2" t="s">
        <v>375</v>
      </c>
      <c r="C18" s="2" t="s">
        <v>376</v>
      </c>
      <c r="D18" s="2" t="s">
        <v>27</v>
      </c>
      <c r="E18" s="2" t="s">
        <v>320</v>
      </c>
      <c r="F18" s="19" t="s">
        <v>440</v>
      </c>
      <c r="G18" t="s">
        <v>423</v>
      </c>
    </row>
    <row r="19" spans="1:7" x14ac:dyDescent="0.2">
      <c r="A19" s="2" t="s">
        <v>378</v>
      </c>
      <c r="B19" s="2" t="s">
        <v>379</v>
      </c>
      <c r="C19" s="2" t="s">
        <v>377</v>
      </c>
      <c r="D19" s="2" t="s">
        <v>48</v>
      </c>
      <c r="E19" s="2" t="s">
        <v>144</v>
      </c>
      <c r="F19" s="19" t="s">
        <v>441</v>
      </c>
      <c r="G19" t="s">
        <v>423</v>
      </c>
    </row>
    <row r="20" spans="1:7" x14ac:dyDescent="0.2">
      <c r="A20" s="2" t="s">
        <v>381</v>
      </c>
      <c r="B20" s="2" t="s">
        <v>382</v>
      </c>
      <c r="C20" s="2" t="s">
        <v>380</v>
      </c>
      <c r="D20" s="2" t="s">
        <v>39</v>
      </c>
      <c r="E20" s="2" t="s">
        <v>130</v>
      </c>
      <c r="F20" s="19" t="s">
        <v>442</v>
      </c>
      <c r="G20" t="s">
        <v>423</v>
      </c>
    </row>
    <row r="21" spans="1:7" x14ac:dyDescent="0.2">
      <c r="A21" s="2" t="s">
        <v>385</v>
      </c>
      <c r="B21" s="2" t="s">
        <v>386</v>
      </c>
      <c r="C21" s="2" t="s">
        <v>383</v>
      </c>
      <c r="D21" s="2" t="s">
        <v>17</v>
      </c>
      <c r="E21" s="2" t="s">
        <v>384</v>
      </c>
      <c r="F21" s="19" t="s">
        <v>443</v>
      </c>
      <c r="G21" t="s">
        <v>423</v>
      </c>
    </row>
    <row r="22" spans="1:7" x14ac:dyDescent="0.2">
      <c r="A22" s="2" t="s">
        <v>389</v>
      </c>
      <c r="B22" s="2" t="s">
        <v>388</v>
      </c>
      <c r="C22" s="2" t="s">
        <v>387</v>
      </c>
      <c r="D22" s="2" t="s">
        <v>53</v>
      </c>
      <c r="E22" s="2" t="s">
        <v>390</v>
      </c>
      <c r="F22" s="19" t="s">
        <v>444</v>
      </c>
      <c r="G22" t="s">
        <v>423</v>
      </c>
    </row>
    <row r="23" spans="1:7" x14ac:dyDescent="0.2">
      <c r="A23" s="2" t="s">
        <v>393</v>
      </c>
      <c r="B23" s="2" t="s">
        <v>394</v>
      </c>
      <c r="C23" s="2" t="s">
        <v>392</v>
      </c>
      <c r="D23" s="2" t="s">
        <v>21</v>
      </c>
      <c r="E23" s="2" t="s">
        <v>64</v>
      </c>
      <c r="F23" s="19" t="s">
        <v>449</v>
      </c>
      <c r="G23" t="s">
        <v>423</v>
      </c>
    </row>
    <row r="24" spans="1:7" x14ac:dyDescent="0.2">
      <c r="A24" s="2" t="s">
        <v>187</v>
      </c>
      <c r="B24" s="2" t="s">
        <v>396</v>
      </c>
      <c r="C24" s="2" t="s">
        <v>395</v>
      </c>
      <c r="D24" s="2" t="s">
        <v>57</v>
      </c>
      <c r="E24" s="2" t="s">
        <v>171</v>
      </c>
      <c r="F24" s="19" t="s">
        <v>450</v>
      </c>
      <c r="G24" t="s">
        <v>423</v>
      </c>
    </row>
    <row r="25" spans="1:7" x14ac:dyDescent="0.2">
      <c r="A25" s="2" t="s">
        <v>398</v>
      </c>
      <c r="B25" s="2" t="s">
        <v>399</v>
      </c>
      <c r="C25" s="2" t="s">
        <v>397</v>
      </c>
      <c r="D25" s="2" t="s">
        <v>32</v>
      </c>
      <c r="E25" s="2" t="s">
        <v>122</v>
      </c>
      <c r="F25" s="19" t="s">
        <v>451</v>
      </c>
      <c r="G25" t="s">
        <v>423</v>
      </c>
    </row>
    <row r="26" spans="1:7" x14ac:dyDescent="0.2">
      <c r="A26" s="2" t="s">
        <v>401</v>
      </c>
      <c r="B26" s="2" t="s">
        <v>402</v>
      </c>
      <c r="C26" s="2" t="s">
        <v>400</v>
      </c>
      <c r="D26" s="2" t="s">
        <v>50</v>
      </c>
      <c r="E26" s="2" t="s">
        <v>148</v>
      </c>
      <c r="F26" s="19" t="s">
        <v>452</v>
      </c>
      <c r="G26" t="s">
        <v>423</v>
      </c>
    </row>
    <row r="27" spans="1:7" x14ac:dyDescent="0.2">
      <c r="A27" s="2" t="s">
        <v>123</v>
      </c>
      <c r="B27" s="2" t="s">
        <v>404</v>
      </c>
      <c r="C27" s="2" t="s">
        <v>403</v>
      </c>
      <c r="D27" s="2" t="s">
        <v>33</v>
      </c>
      <c r="E27" s="2" t="s">
        <v>124</v>
      </c>
      <c r="F27" s="19" t="s">
        <v>453</v>
      </c>
      <c r="G27" t="s">
        <v>423</v>
      </c>
    </row>
    <row r="28" spans="1:7" x14ac:dyDescent="0.2">
      <c r="A28" s="2" t="s">
        <v>406</v>
      </c>
      <c r="B28" s="2" t="s">
        <v>407</v>
      </c>
      <c r="C28" s="2" t="s">
        <v>405</v>
      </c>
      <c r="D28" s="2" t="s">
        <v>15</v>
      </c>
      <c r="E28" s="2" t="s">
        <v>70</v>
      </c>
      <c r="F28" s="19" t="s">
        <v>456</v>
      </c>
      <c r="G28" t="s">
        <v>423</v>
      </c>
    </row>
    <row r="29" spans="1:7" x14ac:dyDescent="0.2">
      <c r="A29" s="2" t="s">
        <v>409</v>
      </c>
      <c r="B29" s="2" t="s">
        <v>410</v>
      </c>
      <c r="C29" s="2" t="s">
        <v>408</v>
      </c>
      <c r="D29" s="2" t="s">
        <v>55</v>
      </c>
      <c r="E29" s="2" t="s">
        <v>71</v>
      </c>
      <c r="F29" s="19" t="s">
        <v>457</v>
      </c>
      <c r="G29" t="s">
        <v>423</v>
      </c>
    </row>
    <row r="30" spans="1:7" x14ac:dyDescent="0.2">
      <c r="A30" s="2" t="s">
        <v>418</v>
      </c>
      <c r="B30" s="2" t="s">
        <v>419</v>
      </c>
      <c r="C30" s="2" t="s">
        <v>417</v>
      </c>
      <c r="D30" s="2" t="s">
        <v>6</v>
      </c>
      <c r="E30" s="2" t="s">
        <v>72</v>
      </c>
      <c r="F30" s="19" t="s">
        <v>454</v>
      </c>
      <c r="G30" t="s">
        <v>423</v>
      </c>
    </row>
    <row r="31" spans="1:7" x14ac:dyDescent="0.2">
      <c r="A31" s="2" t="s">
        <v>100</v>
      </c>
      <c r="B31" s="2" t="s">
        <v>421</v>
      </c>
      <c r="C31" s="2" t="s">
        <v>420</v>
      </c>
      <c r="D31" s="2" t="s">
        <v>6</v>
      </c>
      <c r="E31" s="2" t="s">
        <v>96</v>
      </c>
      <c r="F31" s="19" t="s">
        <v>455</v>
      </c>
      <c r="G31" t="s">
        <v>423</v>
      </c>
    </row>
    <row r="32" spans="1:7" x14ac:dyDescent="0.2">
      <c r="A32" s="2" t="s">
        <v>446</v>
      </c>
      <c r="B32" s="2" t="s">
        <v>447</v>
      </c>
      <c r="C32" s="2" t="s">
        <v>448</v>
      </c>
      <c r="D32" s="2" t="s">
        <v>53</v>
      </c>
      <c r="E32" s="2" t="s">
        <v>154</v>
      </c>
      <c r="F32" s="19" t="s">
        <v>445</v>
      </c>
      <c r="G32" s="2" t="s">
        <v>423</v>
      </c>
    </row>
    <row r="33" spans="1:7" x14ac:dyDescent="0.2">
      <c r="A33" s="2" t="s">
        <v>459</v>
      </c>
      <c r="B33" s="2" t="s">
        <v>460</v>
      </c>
      <c r="C33" s="2" t="s">
        <v>458</v>
      </c>
      <c r="D33" s="2" t="s">
        <v>6</v>
      </c>
      <c r="E33" s="2" t="s">
        <v>94</v>
      </c>
      <c r="F33" s="19" t="s">
        <v>461</v>
      </c>
      <c r="G33" s="2" t="s">
        <v>423</v>
      </c>
    </row>
    <row r="34" spans="1:7" x14ac:dyDescent="0.2">
      <c r="A34" s="2" t="s">
        <v>463</v>
      </c>
      <c r="B34" s="2" t="s">
        <v>464</v>
      </c>
      <c r="C34" s="2" t="s">
        <v>462</v>
      </c>
      <c r="D34" s="2" t="s">
        <v>6</v>
      </c>
      <c r="E34" s="2" t="s">
        <v>95</v>
      </c>
      <c r="F34" s="19" t="s">
        <v>465</v>
      </c>
      <c r="G34" s="2" t="s">
        <v>423</v>
      </c>
    </row>
    <row r="35" spans="1:7" x14ac:dyDescent="0.2">
      <c r="A35" t="s">
        <v>413</v>
      </c>
      <c r="B35" t="s">
        <v>363</v>
      </c>
      <c r="C35" t="s">
        <v>414</v>
      </c>
      <c r="D35" t="s">
        <v>414</v>
      </c>
      <c r="E35" t="s">
        <v>414</v>
      </c>
      <c r="F35" s="18"/>
      <c r="G35" s="2" t="s">
        <v>423</v>
      </c>
    </row>
  </sheetData>
  <hyperlinks>
    <hyperlink ref="F2" r:id="rId1" xr:uid="{7BC09F08-0990-4A8E-8E3A-8D5E8446806F}"/>
    <hyperlink ref="F3" r:id="rId2" xr:uid="{80558829-E5CD-4886-B199-951DFDB5BD19}"/>
    <hyperlink ref="F4" r:id="rId3" xr:uid="{A44B5D46-7967-49EF-B27E-64D574BDDBA5}"/>
    <hyperlink ref="F5" r:id="rId4" xr:uid="{BEE30837-0611-4D57-A3DA-D9B6C5AF15AB}"/>
    <hyperlink ref="F6" r:id="rId5" xr:uid="{DF21DD14-5BED-48BC-BCAA-6F624D6E2533}"/>
    <hyperlink ref="F7" r:id="rId6" xr:uid="{9FC8CEE0-B903-4E36-8E43-95A5A9174BA6}"/>
    <hyperlink ref="F8" r:id="rId7" xr:uid="{2E0F0689-5202-4C98-9F8C-48A9592BBD3B}"/>
    <hyperlink ref="F9" r:id="rId8" xr:uid="{178CBF53-CB35-4D1A-8CCB-0E18B04FE287}"/>
    <hyperlink ref="F10" r:id="rId9" xr:uid="{34205B57-0CF1-4A2B-A808-DA0BD8C77512}"/>
    <hyperlink ref="F11" r:id="rId10" xr:uid="{4BC48CC9-FB7C-4E5B-B8F1-F53D259BAD2A}"/>
    <hyperlink ref="F12" r:id="rId11" xr:uid="{D5A01341-8352-49E2-8F3F-0301CD808EAC}"/>
    <hyperlink ref="F13" r:id="rId12" xr:uid="{6440B576-38EE-4F54-BE12-2A0B03777CBE}"/>
    <hyperlink ref="F14" r:id="rId13" xr:uid="{30D2A38B-C4A1-4358-A448-121EAAEA2E4E}"/>
    <hyperlink ref="F15" r:id="rId14" xr:uid="{CA1E1726-9241-4932-A9DC-4BC21F9BB841}"/>
    <hyperlink ref="F16" r:id="rId15" xr:uid="{561E5CC1-92D8-4ED3-8452-07600CE309FB}"/>
    <hyperlink ref="F17" r:id="rId16" xr:uid="{C658B955-D649-4EE0-93A6-E90D4BDA3D4F}"/>
    <hyperlink ref="F18" r:id="rId17" xr:uid="{DF4CD894-8137-4FFF-A594-7010BA3A932A}"/>
    <hyperlink ref="F19" r:id="rId18" xr:uid="{029187AE-B931-4087-8134-32E6F730B8C7}"/>
    <hyperlink ref="F20" r:id="rId19" xr:uid="{5E97DE56-A1E7-4C93-A797-806704FF8499}"/>
    <hyperlink ref="F21" r:id="rId20" xr:uid="{4D191090-7697-45D2-9D8A-D06E061A65A5}"/>
    <hyperlink ref="F22" r:id="rId21" xr:uid="{A2245CE8-27D5-432C-B449-B1CA74F21F72}"/>
    <hyperlink ref="F23" r:id="rId22" xr:uid="{04DD1E9F-50B3-4090-9ABF-647D81CDBC6A}"/>
    <hyperlink ref="F24" r:id="rId23" xr:uid="{2D32F692-DF58-40B5-A916-69A1A78883AF}"/>
    <hyperlink ref="F25" r:id="rId24" xr:uid="{46C65D3D-3975-4293-8C8D-DA1172127ED6}"/>
    <hyperlink ref="F26" r:id="rId25" xr:uid="{685349F9-1384-489D-9936-286022128675}"/>
    <hyperlink ref="F27" r:id="rId26" xr:uid="{FE30CDB3-47FB-4570-8470-6B381A1D4ECF}"/>
    <hyperlink ref="F28" r:id="rId27" xr:uid="{89617683-FD87-4452-BF15-AFB2F303220F}"/>
    <hyperlink ref="F29" r:id="rId28" xr:uid="{E9EAA6BE-3E06-486F-8DDD-27367B8D58E1}"/>
    <hyperlink ref="F30" r:id="rId29" xr:uid="{371D8CA3-19CC-4E4B-931C-B1D35781150A}"/>
    <hyperlink ref="F31" r:id="rId30" xr:uid="{AC807BE9-B7D9-4D0A-BD11-89BBFC22695E}"/>
    <hyperlink ref="F32" r:id="rId31" xr:uid="{8D1432E7-4B82-48A4-9C63-305695DE6A7F}"/>
    <hyperlink ref="F33" r:id="rId32" xr:uid="{F6D4C1F7-F966-4C4C-B2DF-B853140A2D7E}"/>
    <hyperlink ref="F34" r:id="rId33" xr:uid="{E2E2EAC1-67E5-4CBA-B17A-E30FA5CE3A0B}"/>
  </hyperlinks>
  <pageMargins left="0.7" right="0.7" top="0.78740157499999996" bottom="0.78740157499999996" header="0.3" footer="0.3"/>
  <tableParts count="1">
    <tablePart r:id="rId3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BC55B-A262-43BC-81B6-7BDA8467EBAB}">
  <sheetPr codeName="Tabelle4"/>
  <dimension ref="A1:C1"/>
  <sheetViews>
    <sheetView workbookViewId="0">
      <selection activeCell="A2" sqref="A2"/>
    </sheetView>
  </sheetViews>
  <sheetFormatPr baseColWidth="10" defaultRowHeight="12.75" x14ac:dyDescent="0.2"/>
  <cols>
    <col min="1" max="1" width="11.42578125" style="33"/>
    <col min="3" max="3" width="16.140625" bestFit="1" customWidth="1"/>
  </cols>
  <sheetData>
    <row r="1" spans="1:3" x14ac:dyDescent="0.2">
      <c r="A1" s="33" t="str" cm="1">
        <f t="array" ref="A1">_xlfn.UNIQUE(_xlfn._xlws.FILTER(CityTable[ISO2], CityTable[Home]=TRUE))</f>
        <v>GB</v>
      </c>
      <c r="C1" t="str" cm="1">
        <f t="array" ref="C1">_xlfn.UNIQUE(_xlfn._xlws.FILTER(CityTable[Name], CityTable[Home]=TRUE))</f>
        <v>London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Build</vt:lpstr>
      <vt:lpstr>Cities</vt:lpstr>
      <vt:lpstr>Countries</vt:lpstr>
      <vt:lpstr>Trips</vt:lpstr>
      <vt:lpstr>By Year</vt:lpstr>
      <vt:lpstr>Airports</vt:lpstr>
      <vt:lpstr>Flights</vt:lpstr>
      <vt:lpstr>Airlines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Russ</dc:creator>
  <cp:lastModifiedBy>Daniel Russ</cp:lastModifiedBy>
  <dcterms:created xsi:type="dcterms:W3CDTF">2026-08-02T10:17:24Z</dcterms:created>
  <dcterms:modified xsi:type="dcterms:W3CDTF">2026-09-13T18:13:46Z</dcterms:modified>
</cp:coreProperties>
</file>