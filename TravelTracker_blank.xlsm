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ev\travel-tracker\"/>
    </mc:Choice>
  </mc:AlternateContent>
  <xr:revisionPtr revIDLastSave="0" documentId="13_ncr:1_{63A89F2B-C430-4096-BF5A-FEE6874C3482}" xr6:coauthVersionLast="47" xr6:coauthVersionMax="47" xr10:uidLastSave="{00000000-0000-0000-0000-000000000000}"/>
  <bookViews>
    <workbookView xWindow="-110" yWindow="-110" windowWidth="19420" windowHeight="10300" tabRatio="669" activeTab="1" autoFilterDateGrouping="0" xr2:uid="{00000000-000D-0000-FFFF-FFFF00000000}"/>
  </bookViews>
  <sheets>
    <sheet name="Build" sheetId="26" r:id="rId1"/>
    <sheet name="Cities" sheetId="14" r:id="rId2"/>
    <sheet name="Countries" sheetId="17" r:id="rId3"/>
    <sheet name="Trips" sheetId="19" r:id="rId4"/>
    <sheet name="By Year" sheetId="24" r:id="rId5"/>
    <sheet name="Airports" sheetId="21" r:id="rId6"/>
    <sheet name="Flights" sheetId="20" r:id="rId7"/>
    <sheet name="Airlines" sheetId="23" r:id="rId8"/>
    <sheet name="HomeOrWork" sheetId="25" state="veryHidden" r:id="rId9"/>
  </sheets>
  <functionGroups builtInGroupCount="19"/>
  <definedNames>
    <definedName name="_xlpm.c" hidden="1" xlm="1">#NAME?</definedName>
    <definedName name="PYTHON_WIN">"C:\dev\travel-tracker\venv\Scripts\python.exe"</definedName>
    <definedName name="PYTHONPATH">"C:\dev\travel-tracker"</definedName>
  </definedNames>
  <calcPr calcId="191029" calcMode="autoNoTabl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4" l="1" a="1"/>
  <c r="H3" i="14" s="1"/>
  <c r="J3" i="14"/>
  <c r="K3" i="14"/>
  <c r="A2" i="20"/>
  <c r="K2" i="20"/>
  <c r="G2" i="21"/>
  <c r="H2" i="21"/>
  <c r="C2" i="19"/>
  <c r="L2" i="17"/>
  <c r="H2" i="14" a="1"/>
  <c r="H2" i="14" s="1"/>
  <c r="J2" i="14"/>
  <c r="K2" i="14"/>
  <c r="E2" i="24" a="1"/>
  <c r="E2" i="24" s="1"/>
  <c r="C2" i="24" s="1" a="1"/>
  <c r="C2" i="24" s="1"/>
  <c r="E3" i="24" a="1"/>
  <c r="E3" i="24" s="1"/>
  <c r="C3" i="24" s="1" a="1"/>
  <c r="C3" i="24" s="1"/>
  <c r="E4" i="24" a="1"/>
  <c r="E4" i="24" s="1"/>
  <c r="C4" i="24" s="1" a="1"/>
  <c r="C4" i="24" s="1"/>
  <c r="E5" i="24" a="1"/>
  <c r="E5" i="24" s="1"/>
  <c r="C5" i="24" s="1" a="1"/>
  <c r="C5" i="24" s="1"/>
  <c r="E6" i="24" a="1"/>
  <c r="E6" i="24" s="1"/>
  <c r="C6" i="24" s="1" a="1"/>
  <c r="C6" i="24" s="1"/>
  <c r="E7" i="24" a="1"/>
  <c r="E7" i="24" s="1"/>
  <c r="C7" i="24" s="1" a="1"/>
  <c r="C7" i="24" s="1"/>
  <c r="E8" i="24" a="1"/>
  <c r="E8" i="24" s="1"/>
  <c r="C8" i="24" s="1" a="1"/>
  <c r="C8" i="24" s="1"/>
  <c r="E9" i="24" a="1"/>
  <c r="E9" i="24" s="1"/>
  <c r="C9" i="24" s="1" a="1"/>
  <c r="C9" i="24" s="1"/>
  <c r="E10" i="24" a="1"/>
  <c r="E10" i="24" s="1"/>
  <c r="C10" i="24" s="1" a="1"/>
  <c r="C10" i="24" s="1"/>
  <c r="E11" i="24" a="1"/>
  <c r="E11" i="24" s="1"/>
  <c r="C11" i="24" s="1" a="1"/>
  <c r="C11" i="24" s="1"/>
  <c r="E12" i="24" a="1"/>
  <c r="E12" i="24" s="1"/>
  <c r="C12" i="24" s="1" a="1"/>
  <c r="C12" i="24" s="1"/>
  <c r="E13" i="24" a="1"/>
  <c r="E13" i="24" s="1"/>
  <c r="C13" i="24" s="1" a="1"/>
  <c r="C13" i="24" s="1"/>
  <c r="E14" i="24" a="1"/>
  <c r="E14" i="24" s="1"/>
  <c r="C14" i="24" s="1" a="1"/>
  <c r="C14" i="24" s="1"/>
  <c r="E15" i="24" a="1"/>
  <c r="E15" i="24" s="1"/>
  <c r="C15" i="24" s="1" a="1"/>
  <c r="C15" i="24" s="1"/>
  <c r="E16" i="24" a="1"/>
  <c r="E16" i="24" s="1"/>
  <c r="C16" i="24" s="1" a="1"/>
  <c r="C16" i="24" s="1"/>
  <c r="E17" i="24" a="1"/>
  <c r="E17" i="24" s="1"/>
  <c r="C17" i="24" s="1" a="1"/>
  <c r="C17" i="24" s="1"/>
  <c r="E18" i="24" a="1"/>
  <c r="E18" i="24" s="1"/>
  <c r="C18" i="24" s="1" a="1"/>
  <c r="C18" i="24" s="1"/>
  <c r="E19" i="24" a="1"/>
  <c r="E19" i="24" s="1"/>
  <c r="C19" i="24" s="1" a="1"/>
  <c r="C19" i="24" s="1"/>
  <c r="D2" i="24" a="1"/>
  <c r="D2" i="24" s="1"/>
  <c r="B2" i="24" s="1" a="1"/>
  <c r="B2" i="24" s="1"/>
  <c r="D3" i="24" a="1"/>
  <c r="D3" i="24" s="1"/>
  <c r="B3" i="24" s="1" a="1"/>
  <c r="B3" i="24" s="1"/>
  <c r="D4" i="24" a="1"/>
  <c r="D4" i="24" s="1"/>
  <c r="B4" i="24" s="1" a="1"/>
  <c r="B4" i="24" s="1"/>
  <c r="D5" i="24" a="1"/>
  <c r="D5" i="24" s="1"/>
  <c r="B5" i="24" s="1" a="1"/>
  <c r="B5" i="24" s="1"/>
  <c r="D6" i="24" a="1"/>
  <c r="D6" i="24" s="1"/>
  <c r="B6" i="24" s="1" a="1"/>
  <c r="B6" i="24" s="1"/>
  <c r="D7" i="24" a="1"/>
  <c r="D7" i="24" s="1"/>
  <c r="B7" i="24" s="1" a="1"/>
  <c r="B7" i="24" s="1"/>
  <c r="D8" i="24" a="1"/>
  <c r="D8" i="24" s="1"/>
  <c r="B8" i="24" s="1" a="1"/>
  <c r="B8" i="24" s="1"/>
  <c r="D9" i="24" a="1"/>
  <c r="D9" i="24" s="1"/>
  <c r="B9" i="24" s="1" a="1"/>
  <c r="B9" i="24" s="1"/>
  <c r="D10" i="24" a="1"/>
  <c r="D10" i="24" s="1"/>
  <c r="B10" i="24" s="1" a="1"/>
  <c r="B10" i="24" s="1"/>
  <c r="D11" i="24" a="1"/>
  <c r="D11" i="24" s="1"/>
  <c r="B11" i="24" s="1" a="1"/>
  <c r="B11" i="24" s="1"/>
  <c r="D12" i="24" a="1"/>
  <c r="D12" i="24" s="1"/>
  <c r="B12" i="24" s="1" a="1"/>
  <c r="B12" i="24" s="1"/>
  <c r="D13" i="24" a="1"/>
  <c r="D13" i="24" s="1"/>
  <c r="B13" i="24" s="1" a="1"/>
  <c r="B13" i="24" s="1"/>
  <c r="D14" i="24" a="1"/>
  <c r="D14" i="24" s="1"/>
  <c r="B14" i="24" s="1" a="1"/>
  <c r="B14" i="24" s="1"/>
  <c r="D15" i="24" a="1"/>
  <c r="D15" i="24" s="1"/>
  <c r="B15" i="24" s="1" a="1"/>
  <c r="B15" i="24" s="1"/>
  <c r="D16" i="24" a="1"/>
  <c r="D16" i="24" s="1"/>
  <c r="B16" i="24" s="1" a="1"/>
  <c r="B16" i="24" s="1"/>
  <c r="D17" i="24" a="1"/>
  <c r="D17" i="24" s="1"/>
  <c r="B17" i="24" s="1" a="1"/>
  <c r="B17" i="24" s="1"/>
  <c r="D18" i="24" a="1"/>
  <c r="D18" i="24" s="1"/>
  <c r="B18" i="24" s="1" a="1"/>
  <c r="B18" i="24" s="1"/>
  <c r="D19" i="24" a="1"/>
  <c r="D19" i="24" s="1"/>
  <c r="B19" i="24" s="1" a="1"/>
  <c r="B19" i="24" s="1"/>
  <c r="C1" i="25" a="1"/>
  <c r="C1" i="25" s="1"/>
  <c r="A2" i="21" a="1"/>
  <c r="F2" i="21" a="1"/>
  <c r="B2" i="21" a="1"/>
  <c r="C2" i="21" a="1"/>
  <c r="E2" i="21" a="1"/>
  <c r="G2" i="17" a="1"/>
  <c r="D2" i="17" a="1"/>
  <c r="E2" i="17" a="1"/>
  <c r="F2" i="17" a="1"/>
  <c r="E2" i="21" l="1"/>
  <c r="C2" i="21"/>
  <c r="B2" i="21"/>
  <c r="I2" i="21" s="1"/>
  <c r="F2" i="21"/>
  <c r="A2" i="21"/>
  <c r="F2" i="17"/>
  <c r="E2" i="17"/>
  <c r="D2" i="17"/>
  <c r="G2" i="17"/>
  <c r="A3" i="14"/>
  <c r="G3" i="14" a="1"/>
  <c r="F3" i="14" a="1"/>
  <c r="E3" i="14" a="1"/>
  <c r="E3" i="14" l="1"/>
  <c r="F3" i="14"/>
  <c r="G3" i="14"/>
  <c r="H2" i="17" a="1"/>
  <c r="H2" i="17" s="1"/>
  <c r="I2" i="17"/>
  <c r="A2" i="14"/>
  <c r="A1" i="25" s="1" a="1"/>
  <c r="A1" i="25" s="1"/>
  <c r="J2" i="17"/>
  <c r="G2" i="14" a="1"/>
  <c r="F2" i="14" a="1"/>
  <c r="F2" i="14" l="1"/>
  <c r="G2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<sst xmlns="http://schemas.openxmlformats.org/spreadsheetml/2006/main" count="299" uniqueCount="234">
  <si>
    <t>Country</t>
  </si>
  <si>
    <t>Flag</t>
  </si>
  <si>
    <t>Austria</t>
  </si>
  <si>
    <t>China</t>
  </si>
  <si>
    <t>Germany</t>
  </si>
  <si>
    <t>Greece</t>
  </si>
  <si>
    <t>Iceland</t>
  </si>
  <si>
    <t>Ireland</t>
  </si>
  <si>
    <t>Japan</t>
  </si>
  <si>
    <t>Malaysia</t>
  </si>
  <si>
    <t>Malta</t>
  </si>
  <si>
    <t>Mexico</t>
  </si>
  <si>
    <t>Netherlands</t>
  </si>
  <si>
    <t>New Zealand</t>
  </si>
  <si>
    <t>Panama</t>
  </si>
  <si>
    <t>Poland</t>
  </si>
  <si>
    <t>Portugal</t>
  </si>
  <si>
    <t>Singapore</t>
  </si>
  <si>
    <t>Spain</t>
  </si>
  <si>
    <t>Switzerland</t>
  </si>
  <si>
    <t>Turkey</t>
  </si>
  <si>
    <t>UAE</t>
  </si>
  <si>
    <t>United Kingdom</t>
  </si>
  <si>
    <t>United States</t>
  </si>
  <si>
    <t>Vietnam</t>
  </si>
  <si>
    <t>Month</t>
  </si>
  <si>
    <t>Dublin</t>
  </si>
  <si>
    <t>Tokyo</t>
  </si>
  <si>
    <t>Dubai</t>
  </si>
  <si>
    <t>Beijing</t>
  </si>
  <si>
    <t>Warsaw</t>
  </si>
  <si>
    <t>Athens</t>
  </si>
  <si>
    <t>London</t>
  </si>
  <si>
    <t>Shanghai</t>
  </si>
  <si>
    <t>Vienna</t>
  </si>
  <si>
    <t>City</t>
  </si>
  <si>
    <t>Full Name</t>
  </si>
  <si>
    <t>Population</t>
  </si>
  <si>
    <t>Visits</t>
  </si>
  <si>
    <t>First Visit</t>
  </si>
  <si>
    <t>Last Visit</t>
  </si>
  <si>
    <t>CA</t>
  </si>
  <si>
    <t>Chengdu</t>
  </si>
  <si>
    <t>Chongqing</t>
  </si>
  <si>
    <t>Guangzhou</t>
  </si>
  <si>
    <t>CZ</t>
  </si>
  <si>
    <t>FR</t>
  </si>
  <si>
    <t>Frankfurt am Main</t>
  </si>
  <si>
    <t>Kuala Lumpur</t>
  </si>
  <si>
    <t>Amsterdam</t>
  </si>
  <si>
    <t>NZ</t>
  </si>
  <si>
    <t>Auckland</t>
  </si>
  <si>
    <t>Lisbon</t>
  </si>
  <si>
    <t>Madrid</t>
  </si>
  <si>
    <t>Zurich</t>
  </si>
  <si>
    <t>TR</t>
  </si>
  <si>
    <t>Istanbul</t>
  </si>
  <si>
    <t>United Arab Emirates</t>
  </si>
  <si>
    <t>Glasgow</t>
  </si>
  <si>
    <t>Lat</t>
  </si>
  <si>
    <t>Capital</t>
  </si>
  <si>
    <t>Berlin</t>
  </si>
  <si>
    <t>Atlanta</t>
  </si>
  <si>
    <t>Chicago</t>
  </si>
  <si>
    <t>Hanoi</t>
  </si>
  <si>
    <t>Name</t>
  </si>
  <si>
    <t>Lon</t>
  </si>
  <si>
    <t>Panama City</t>
  </si>
  <si>
    <t>Wiki Page</t>
  </si>
  <si>
    <t>VN</t>
  </si>
  <si>
    <t>GBR</t>
  </si>
  <si>
    <t>Year</t>
  </si>
  <si>
    <t>Trip Name</t>
  </si>
  <si>
    <t>Alternative Name</t>
  </si>
  <si>
    <t>ISO3</t>
  </si>
  <si>
    <t>ISO2</t>
  </si>
  <si>
    <t>Area [km²]</t>
  </si>
  <si>
    <t>Common Name</t>
  </si>
  <si>
    <t>Official Name</t>
  </si>
  <si>
    <t>Origin IATA</t>
  </si>
  <si>
    <t>Destination IATA</t>
  </si>
  <si>
    <t>Origin City</t>
  </si>
  <si>
    <t>Destination City</t>
  </si>
  <si>
    <t>Origin Country</t>
  </si>
  <si>
    <t>Destination Country</t>
  </si>
  <si>
    <t>IATA Code</t>
  </si>
  <si>
    <t>Dusseldorf</t>
  </si>
  <si>
    <t>Luqa</t>
  </si>
  <si>
    <t>Airline</t>
  </si>
  <si>
    <t>Air Europa</t>
  </si>
  <si>
    <t>Copa Airlines</t>
  </si>
  <si>
    <t>Lufthansa</t>
  </si>
  <si>
    <t>Viva Aerobus</t>
  </si>
  <si>
    <t>Date</t>
  </si>
  <si>
    <t>ICAO</t>
  </si>
  <si>
    <t>IATA</t>
  </si>
  <si>
    <t>LH</t>
  </si>
  <si>
    <t>DLH</t>
  </si>
  <si>
    <t>CCA</t>
  </si>
  <si>
    <t>Air China</t>
  </si>
  <si>
    <t>AEA</t>
  </si>
  <si>
    <t>UX</t>
  </si>
  <si>
    <t>Austrian Airlines</t>
  </si>
  <si>
    <t>AUA</t>
  </si>
  <si>
    <t>OS</t>
  </si>
  <si>
    <t>CM</t>
  </si>
  <si>
    <t>CMP</t>
  </si>
  <si>
    <t>VB</t>
  </si>
  <si>
    <t>VIV</t>
  </si>
  <si>
    <t>Monterrey</t>
  </si>
  <si>
    <t>Ryanair</t>
  </si>
  <si>
    <t>RYR</t>
  </si>
  <si>
    <t>Eurowings</t>
  </si>
  <si>
    <t>EW</t>
  </si>
  <si>
    <t>EWG</t>
  </si>
  <si>
    <t>LOT Polish Airlines</t>
  </si>
  <si>
    <t>LO</t>
  </si>
  <si>
    <t>LOT</t>
  </si>
  <si>
    <t>LM</t>
  </si>
  <si>
    <t>LOG</t>
  </si>
  <si>
    <t>Loganair</t>
  </si>
  <si>
    <t>Emirates</t>
  </si>
  <si>
    <t>EK</t>
  </si>
  <si>
    <t>Delta Air Lines</t>
  </si>
  <si>
    <t>DAL</t>
  </si>
  <si>
    <t>DL</t>
  </si>
  <si>
    <t>Germanwings</t>
  </si>
  <si>
    <t>GWI</t>
  </si>
  <si>
    <t>United Airlines</t>
  </si>
  <si>
    <t>UAL</t>
  </si>
  <si>
    <t>UA</t>
  </si>
  <si>
    <t>Tigerair</t>
  </si>
  <si>
    <t>TGW</t>
  </si>
  <si>
    <t>Air Asia</t>
  </si>
  <si>
    <t>AXM</t>
  </si>
  <si>
    <t>AK</t>
  </si>
  <si>
    <t>KM</t>
  </si>
  <si>
    <t>AMC</t>
  </si>
  <si>
    <t>Air Malta</t>
  </si>
  <si>
    <t>Iberia</t>
  </si>
  <si>
    <t>IB</t>
  </si>
  <si>
    <t>IBE</t>
  </si>
  <si>
    <t>TAP Air Portugal</t>
  </si>
  <si>
    <t>TP</t>
  </si>
  <si>
    <t>TAP</t>
  </si>
  <si>
    <t>WOW Air</t>
  </si>
  <si>
    <t>Keflavik</t>
  </si>
  <si>
    <t>WW</t>
  </si>
  <si>
    <t>WOW</t>
  </si>
  <si>
    <t>SunExpress</t>
  </si>
  <si>
    <t>SXS</t>
  </si>
  <si>
    <t>XQ</t>
  </si>
  <si>
    <t>Antalya</t>
  </si>
  <si>
    <t>Main Hub</t>
  </si>
  <si>
    <t>Vanilla Air</t>
  </si>
  <si>
    <t>JW</t>
  </si>
  <si>
    <t>VNL</t>
  </si>
  <si>
    <t>Vietnam Airlines</t>
  </si>
  <si>
    <t>HVN</t>
  </si>
  <si>
    <t>KLM Royal Dutch Airlines</t>
  </si>
  <si>
    <t>KL</t>
  </si>
  <si>
    <t>KLM</t>
  </si>
  <si>
    <t>Swiss International Air Lines</t>
  </si>
  <si>
    <t>LX</t>
  </si>
  <si>
    <t>SWR</t>
  </si>
  <si>
    <t>Air New Zealand</t>
  </si>
  <si>
    <t>ANZ</t>
  </si>
  <si>
    <t>Bluebird Airways</t>
  </si>
  <si>
    <t>BZ</t>
  </si>
  <si>
    <t>BBG</t>
  </si>
  <si>
    <t>EasyJet</t>
  </si>
  <si>
    <t>U2</t>
  </si>
  <si>
    <t>EZY</t>
  </si>
  <si>
    <t>Departures</t>
  </si>
  <si>
    <t>Arrivals</t>
  </si>
  <si>
    <t>4U</t>
  </si>
  <si>
    <t>Cologne</t>
  </si>
  <si>
    <t>China Eastern</t>
  </si>
  <si>
    <t>MU</t>
  </si>
  <si>
    <t>CES</t>
  </si>
  <si>
    <t>China Southern</t>
  </si>
  <si>
    <t>CSN</t>
  </si>
  <si>
    <t>Logo URL</t>
  </si>
  <si>
    <t xml:space="preserve"> </t>
  </si>
  <si>
    <t>https://upload.wikimedia.org/wikipedia/en/thumb/d/d5/Ryanair.svg/3840px-Ryanair.svg.png</t>
  </si>
  <si>
    <t>https://upload.wikimedia.org/wikipedia/commons/thumb/b/b8/Lufthansa_Logo_2018.svg/1920px-Lufthansa_Logo_2018.svg.png</t>
  </si>
  <si>
    <t>https://upload.wikimedia.org/wikipedia/en/thumb/a/a4/Air_China_logo.svg/1920px-Air_China_logo.svg.png</t>
  </si>
  <si>
    <t>https://upload.wikimedia.org/wikipedia/commons/thumb/5/59/Air_Europa_Logo_%282015%29.svg/1920px-Air_Europa_Logo_%282015%29.svg.png</t>
  </si>
  <si>
    <t>https://upload.wikimedia.org/wikipedia/en/thumb/8/81/Austrian_Airlines_logo.svg/1920px-Austrian_Airlines_logo.svg.png</t>
  </si>
  <si>
    <t>https://upload.wikimedia.org/wikipedia/en/thumb/5/5a/Copa_airlines_logo.svg/1920px-Copa_airlines_logo.svg.png</t>
  </si>
  <si>
    <t>https://upload.wikimedia.org/wikipedia/commons/thumb/1/1f/Viva_Logo.svg/1920px-Viva_Logo.svg.png</t>
  </si>
  <si>
    <t>https://upload.wikimedia.org/wikipedia/commons/thumb/b/b4/Eurowings_Logo.svg/1920px-Eurowings_Logo.svg.png</t>
  </si>
  <si>
    <t>https://upload.wikimedia.org/wikipedia/en/thumb/4/49/Germanwings_logo.svg/1920px-Germanwings_logo.svg.png</t>
  </si>
  <si>
    <t>https://upload.wikimedia.org/wikipedia/en/thumb/3/3d/LOT_Polish_Airlines.svg/1920px-LOT_Polish_Airlines.svg.png</t>
  </si>
  <si>
    <t>https://upload.wikimedia.org/wikipedia/en/thumb/9/94/Loganair_logo.svg/1920px-Loganair_logo.svg.png</t>
  </si>
  <si>
    <t>https://upload.wikimedia.org/wikipedia/commons/thumb/1/1d/Emirates_Logo.svg/1920px-Emirates_Logo.svg.png</t>
  </si>
  <si>
    <t>https://upload.wikimedia.org/wikipedia/commons/thumb/d/d1/Delta_logo.svg/1920px-Delta_logo.svg.png</t>
  </si>
  <si>
    <t>https://upload.wikimedia.org/wikipedia/en/thumb/e/e0/United_Airlines_Logo.svg/1920px-United_Airlines_Logo.svg.png</t>
  </si>
  <si>
    <t>https://upload.wikimedia.org/wikipedia/commons/thumb/c/cf/Tigerair.svg/1920px-Tigerair.svg.png</t>
  </si>
  <si>
    <t>https://upload.wikimedia.org/wikipedia/commons/thumb/f/f5/AirAsia_New_Logo.svg/1280px-AirAsia_New_Logo.svg.png</t>
  </si>
  <si>
    <t>https://upload.wikimedia.org/wikipedia/commons/thumb/6/6b/Logo_airmalta.svg/1920px-Logo_airmalta.svg.png</t>
  </si>
  <si>
    <t>https://upload.wikimedia.org/wikipedia/commons/thumb/2/23/Logotipo_de_Iberia.svg/1920px-Logotipo_de_Iberia.svg.png</t>
  </si>
  <si>
    <t>https://upload.wikimedia.org/wikipedia/commons/thumb/f/fd/TAP-Portugal-Logo.svg/1920px-TAP-Portugal-Logo.svg.png</t>
  </si>
  <si>
    <t>https://upload.wikimedia.org/wikipedia/en/thumb/e/e7/WOW_air_logo.svg/960px-WOW_air_logo.svg.png</t>
  </si>
  <si>
    <t>https://upload.wikimedia.org/wikipedia/commons/thumb/d/d9/SunExpress_Logo.svg/1920px-SunExpress_Logo.svg.png</t>
  </si>
  <si>
    <t>https://upload.wikimedia.org/wikipedia/commons/thumb/0/00/Turkish_Airlines_logo_2019_compact.svg/1920px-Turkish_Airlines_logo_2019_compact.svg.png</t>
  </si>
  <si>
    <t>TK</t>
  </si>
  <si>
    <t>THY</t>
  </si>
  <si>
    <t>Turkish Airlines</t>
  </si>
  <si>
    <t>https://upload.wikimedia.org/wikipedia/commons/thumb/9/9d/Vanilla_Air_logo.svg/1920px-Vanilla_Air_logo.svg.png</t>
  </si>
  <si>
    <t>https://upload.wikimedia.org/wikipedia/en/thumb/b/b6/Vietnam_Airlines_logo_2015.svg/1920px-Vietnam_Airlines_logo_2015.svg.png</t>
  </si>
  <si>
    <t>https://upload.wikimedia.org/wikipedia/commons/thumb/c/c7/KLM_logo.svg/1280px-KLM_logo.svg.png</t>
  </si>
  <si>
    <t>https://upload.wikimedia.org/wikipedia/commons/thumb/f/f8/Swiss_International_Air_Lines_Logo_2011.svg/1920px-Swiss_International_Air_Lines_Logo_2011.svg.png</t>
  </si>
  <si>
    <t>https://upload.wikimedia.org/wikipedia/commons/thumb/9/97/Air_New_Zealand_logo.svg/1920px-Air_New_Zealand_logo.svg.png</t>
  </si>
  <si>
    <t>https://upload.wikimedia.org/wikipedia/en/thumb/6/6b/China_Eastern_Airlines_logo.svg/1920px-China_Eastern_Airlines_logo.svg.png</t>
  </si>
  <si>
    <t>https://upload.wikimedia.org/wikipedia/en/thumb/b/b4/China_Southern_Airlines_logo.svg/1920px-China_Southern_Airlines_logo.svg.png</t>
  </si>
  <si>
    <t>https://upload.wikimedia.org/wikipedia/en/a/a7/Bluebird_Airways_Logo.png</t>
  </si>
  <si>
    <t>https://upload.wikimedia.org/wikipedia/commons/thumb/1/1b/EasyJet_logo.svg/1920px-EasyJet_logo.svg.png</t>
  </si>
  <si>
    <t>Sichuan Airlines</t>
  </si>
  <si>
    <t>3U</t>
  </si>
  <si>
    <t>CSC</t>
  </si>
  <si>
    <t>https://upload.wikimedia.org/wikipedia/en/thumb/0/0d/Sichuan_Airlines_logo.svg/1920px-Sichuan_Airlines_logo.svg.png</t>
  </si>
  <si>
    <t>Chongqing Airlines</t>
  </si>
  <si>
    <t>OQ</t>
  </si>
  <si>
    <t>CQN</t>
  </si>
  <si>
    <t>https://upload.wikimedia.org/wikipedia/commons/0/0f/Chongqing_Airlines_logo.png</t>
  </si>
  <si>
    <t>New Countries</t>
  </si>
  <si>
    <t># Countries</t>
  </si>
  <si>
    <t>Countries</t>
  </si>
  <si>
    <t># New Countries</t>
  </si>
  <si>
    <t>Home</t>
  </si>
  <si>
    <t>Comment</t>
  </si>
  <si>
    <t>Manchester</t>
  </si>
  <si>
    <t>UK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</si>
</sst>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43" formatCode="_-* #,##0.00_-;\-* #,##0.00_-;_-* &quot;-&quot;??_-;_-@_-"/>
    <numFmt numFmtId="164" formatCode="_-* #,##0_-;\-* #,##0_-;_-* &quot;-&quot;??_-;_-@_-"/>
    <numFmt numFmtId="165" formatCode="0.0000"/>
    <numFmt numFmtId="166" formatCode="mmm\ yyyy"/>
  </numFmts>
  <fonts count="7" x14ac:knownFonts="1">
    <font>
      <sz val="10"/>
      <color rgb="FF000000"/>
      <name val="Arial"/>
      <scheme val="minor"/>
    </font>
    <font>
      <sz val="10"/>
      <color rgb="FF000000"/>
      <name val="Arial"/>
      <family val="2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u/>
      <sz val="10"/>
      <color theme="10"/>
      <name val="Arial"/>
      <family val="2"/>
      <scheme val="minor"/>
    </font>
    <font>
      <sz val="8"/>
      <name val="Arial"/>
      <family val="2"/>
      <scheme val="minor"/>
    </font>
    <font>
      <sz val="8"/>
      <name val="Arial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37">
    <xf numFmtId="0" fontId="0" fillId="0" borderId="0" xfId="0"/>
    <xf numFmtId="164" fontId="0" fillId="0" borderId="0" xfId="1" applyNumberFormat="1" applyFont="1"/>
    <xf numFmtId="0" fontId="2" fillId="0" borderId="0" xfId="0" applyFont="1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0" xfId="2" applyAlignment="1">
      <alignment horizontal="left" vertical="center"/>
    </xf>
    <xf numFmtId="164" fontId="0" fillId="0" borderId="0" xfId="1" applyNumberFormat="1" applyFont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49" fontId="4" fillId="0" borderId="0" xfId="2" applyNumberFormat="1" applyAlignment="1">
      <alignment horizontal="center" vertical="center"/>
    </xf>
    <xf numFmtId="49" fontId="0" fillId="0" borderId="0" xfId="0" applyNumberFormat="1"/>
    <xf numFmtId="166" fontId="2" fillId="0" borderId="0" xfId="0" applyNumberFormat="1" applyFont="1"/>
    <xf numFmtId="166" fontId="0" fillId="0" borderId="0" xfId="0" applyNumberFormat="1"/>
    <xf numFmtId="0" fontId="4" fillId="0" borderId="0" xfId="2"/>
    <xf numFmtId="0" fontId="4" fillId="0" borderId="0" xfId="2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6" fontId="2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164" fontId="0" fillId="0" borderId="0" xfId="1" applyNumberFormat="1" applyFont="1" applyAlignment="1">
      <alignment vertical="center"/>
    </xf>
    <xf numFmtId="164" fontId="2" fillId="0" borderId="0" xfId="1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66" fontId="2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2" fillId="0" borderId="0" xfId="0" applyNumberFormat="1" applyFont="1" applyAlignment="1">
      <alignment horizontal="center" vertical="center"/>
    </xf>
    <xf numFmtId="0" fontId="2" fillId="0" borderId="0" xfId="0" applyNumberFormat="1" applyFont="1"/>
  </cellXfs>
  <cellStyles count="3">
    <cellStyle name="Komma" xfId="1" builtinId="3"/>
    <cellStyle name="Link" xfId="2" builtinId="8"/>
    <cellStyle name="Standard" xfId="0" builtinId="0"/>
  </cellStyles>
  <dxfs count="69">
    <dxf>
      <font>
        <strike val="0"/>
      </font>
      <fill>
        <patternFill>
          <bgColor theme="5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166" formatCode="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30" formatCode="@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wrapText="0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166" formatCode="mmm\ yyyy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general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1" indent="0" justifyLastLine="0" shrinkToFit="0" readingOrder="0"/>
    </dxf>
    <dxf>
      <numFmt numFmtId="0" formatCode="General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numFmt numFmtId="30" formatCode="@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  <alignment horizontal="center" vertical="center" textRotation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66" formatCode="mmm\ yyyy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scheme val="minor"/>
      </font>
      <numFmt numFmtId="164" formatCode="_-* #,##0_-;\-* #,##0_-;_-* &quot;-&quot;??_-;_-@_-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numFmt numFmtId="165" formatCode="0.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scheme val="minor"/>
      </font>
    </dxf>
    <dxf>
      <numFmt numFmtId="0" formatCode="General"/>
    </dxf>
    <dxf>
      <alignment vertical="center" textRotation="0" indent="0" justifyLastLine="0" shrinkToFit="0" readingOrder="0"/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</dxfs>
  <tableStyles count="4">
    <tableStyle name="Summary-style" pivot="0" count="3" xr9:uid="{00000000-0011-0000-FFFF-FFFF00000000}">
      <tableStyleElement type="headerRow" dxfId="68"/>
      <tableStyleElement type="firstRowStripe" dxfId="67"/>
      <tableStyleElement type="secondRowStripe" dxfId="66"/>
    </tableStyle>
    <tableStyle name="Data-style" pivot="0" count="3" xr9:uid="{00000000-0011-0000-FFFF-FFFF01000000}">
      <tableStyleElement type="headerRow" dxfId="65"/>
      <tableStyleElement type="firstRowStripe" dxfId="64"/>
      <tableStyleElement type="secondRowStripe" dxfId="63"/>
    </tableStyle>
    <tableStyle name="Cities-style" pivot="0" count="3" xr9:uid="{00000000-0011-0000-FFFF-FFFF02000000}">
      <tableStyleElement type="headerRow" dxfId="62"/>
      <tableStyleElement type="firstRowStripe" dxfId="61"/>
      <tableStyleElement type="secondRowStripe" dxfId="60"/>
    </tableStyle>
    <tableStyle name="Airports-style" pivot="0" count="3" xr9:uid="{00000000-0011-0000-FFFF-FFFF03000000}">
      <tableStyleElement type="headerRow" dxfId="59"/>
      <tableStyleElement type="firstRowStripe" dxfId="58"/>
      <tableStyleElement type="secondRowStripe" dxfId="5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theme" Target="theme/them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1</xdr:row>
          <xdr:rowOff>6350</xdr:rowOff>
        </xdr:from>
        <xdr:to>
          <xdr:col>7</xdr:col>
          <xdr:colOff>755650</xdr:colOff>
          <xdr:row>4</xdr:row>
          <xdr:rowOff>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0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Travel Dashboard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6350</xdr:rowOff>
        </xdr:from>
        <xdr:to>
          <xdr:col>3</xdr:col>
          <xdr:colOff>749300</xdr:colOff>
          <xdr:row>3</xdr:row>
          <xdr:rowOff>152400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0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Visited Cities Map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749300</xdr:colOff>
          <xdr:row>5</xdr:row>
          <xdr:rowOff>6350</xdr:rowOff>
        </xdr:from>
        <xdr:to>
          <xdr:col>8</xdr:col>
          <xdr:colOff>6350</xdr:colOff>
          <xdr:row>7</xdr:row>
          <xdr:rowOff>152400</xdr:rowOff>
        </xdr:to>
        <xdr:sp macro="" textlink="">
          <xdr:nvSpPr>
            <xdr:cNvPr id="13318" name="Button 6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0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Yearly Overview in Browser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6350</xdr:colOff>
          <xdr:row>4</xdr:row>
          <xdr:rowOff>152400</xdr:rowOff>
        </xdr:from>
        <xdr:to>
          <xdr:col>4</xdr:col>
          <xdr:colOff>6350</xdr:colOff>
          <xdr:row>7</xdr:row>
          <xdr:rowOff>152400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00000000-0008-0000-0000-000008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Aviation Map in Browser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</v>
    <v>10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362131A-B778-4EAE-982B-14336E175BD7}" name="CityTable" displayName="CityTable" ref="A1:K3" totalsRowShown="0" headerRowDxfId="56">
  <autoFilter ref="A1:K3" xr:uid="{0362131A-B778-4EAE-982B-14336E175BD7}"/>
  <sortState xmlns:xlrd2="http://schemas.microsoft.com/office/spreadsheetml/2017/richdata2" ref="A2:K1">
    <sortCondition ref="B1"/>
  </sortState>
  <tableColumns count="11">
    <tableColumn id="6" xr3:uid="{0F43BFAB-7991-4029-8CCF-5CB747D4D3DE}" name="ISO2" dataDxfId="55">
      <calculatedColumnFormula>_xlfn.XLOOKUP(CityTable[[#This Row],[Country]], CountryTable[Common Name], CountryTable[ISO2])</calculatedColumnFormula>
    </tableColumn>
    <tableColumn id="7" xr3:uid="{8C2439C4-5D8C-4F32-A110-3B2B4B052ECB}" name="Country"/>
    <tableColumn id="1" xr3:uid="{54101ED5-832E-4969-9728-0CB79150E109}" name="Name"/>
    <tableColumn id="8" xr3:uid="{6AA7F9A8-5267-446F-8E98-33BACFBDC46A}" name="Alternative Name" dataDxfId="54"/>
    <tableColumn id="2" xr3:uid="{ACA698F8-451D-43EE-8D63-EF5CA7CCCF67}" name="Lat" dataDxfId="53">
      <calculatedColumnFormula array="1">GetCityLatitude(CityTable[[#This Row],[Name]],CityTable[[#This Row],[ISO2]])</calculatedColumnFormula>
    </tableColumn>
    <tableColumn id="3" xr3:uid="{B244BCF6-C803-4F7D-84F6-5217AF75A478}" name="Lon" dataDxfId="52">
      <calculatedColumnFormula array="1">GetCityLongitude(CityTable[[#This Row],[Name]],CityTable[[#This Row],[ISO2]])</calculatedColumnFormula>
    </tableColumn>
    <tableColumn id="4" xr3:uid="{69FDF3B5-5148-4031-AD74-CE76369A6882}" name="Population" dataDxfId="51" dataCellStyle="Komma">
      <calculatedColumnFormula array="1">GetCityPopulation(CityTable[[#This Row],[Name]] &amp; ", " &amp; CityTable[[#This Row],[Country]],CityTable[[#This Row],[ISO2]])</calculatedColumnFormula>
    </tableColumn>
    <tableColumn id="5" xr3:uid="{670FBFAA-E820-40A6-9E99-068EBD56873A}" name="Visits" dataDxfId="50">
      <calculatedColumnFormula array="1">IFERROR(COUNTA(_xlfn.UNIQUE(_xlfn._xlws.FILTER(TripTable[Trip Name], (TripTable[City]=CityTable[[#This Row],[Name]])*(TripTable[City]&lt;&gt;"")))), 0)</calculatedColumnFormula>
    </tableColumn>
    <tableColumn id="11" xr3:uid="{05042FBA-4E58-4AC5-8561-2CA0F0C0D80C}" name="Home" dataDxfId="49"/>
    <tableColumn id="9" xr3:uid="{FEC932E4-C673-488E-B8FE-5D038D0D898F}" name="First Visit" dataDxfId="48">
      <calculatedColumnFormula>IF(COUNTIFS(TripTable[City],CityTable[[#This Row],[Name]])=0,"",TEXT(_xlfn.MINIFS(TripTable[Date],TripTable[City],CityTable[[#This Row],[Name]]),"MMM JJJJ"))</calculatedColumnFormula>
    </tableColumn>
    <tableColumn id="10" xr3:uid="{218104F6-2935-4251-B33E-F21846D30AFE}" name="Last Visit" dataDxfId="47">
      <calculatedColumnFormula>IF(COUNTIFS(TripTable[City],CityTable[[#This Row],[Name]])=0,"",TEXT(_xlfn.MAXIFS(TripTable[Date],TripTable[City],CityTable[[#This Row],[Name]]),"MMM JJJJ"))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A6D1237-4D82-4BF7-892D-A8ACF71918ED}" name="CountryTable" displayName="CountryTable" ref="A1:L2" totalsRowShown="0" headerRowDxfId="46" dataDxfId="45">
  <autoFilter ref="A1:L2" xr:uid="{DA6D1237-4D82-4BF7-892D-A8ACF71918ED}"/>
  <sortState xmlns:xlrd2="http://schemas.microsoft.com/office/spreadsheetml/2017/richdata2" ref="A2:L2">
    <sortCondition descending="1" ref="H1:H2"/>
  </sortState>
  <tableColumns count="12">
    <tableColumn id="1" xr3:uid="{EB20A326-2F6E-46A9-877A-81C91FC5F48A}" name="ISO2" dataDxfId="44"/>
    <tableColumn id="2" xr3:uid="{A292FE0B-C6AD-4F7D-BDE9-F4E3C98B7236}" name="ISO3" dataDxfId="43"/>
    <tableColumn id="3" xr3:uid="{D0E52E4F-E4F6-433D-A477-89A70473D103}" name="Common Name" dataDxfId="42"/>
    <tableColumn id="4" xr3:uid="{5FD3170C-151F-4886-9090-9337AFFF7680}" name="Official Name" dataDxfId="41">
      <calculatedColumnFormula array="1">getcountryformalname(CountryTable[[#This Row],[ISO2]])</calculatedColumnFormula>
    </tableColumn>
    <tableColumn id="5" xr3:uid="{3DFABC9B-34FB-4B1A-BF3E-5FB2D834C618}" name="Population" dataDxfId="40" dataCellStyle="Komma">
      <calculatedColumnFormula array="1">GetCountryPopulation(CountryTable[[#This Row],[ISO2]])</calculatedColumnFormula>
    </tableColumn>
    <tableColumn id="6" xr3:uid="{15302429-5002-4453-B9B5-132FFBBBC201}" name="Area [km²]" dataDxfId="39" dataCellStyle="Komma">
      <calculatedColumnFormula array="1">getcountryarea(CountryTable[[#This Row],[ISO2]])</calculatedColumnFormula>
    </tableColumn>
    <tableColumn id="7" xr3:uid="{B64A3635-5FD9-41FA-8B5E-C3E87586DC80}" name="Capital" dataDxfId="38">
      <calculatedColumnFormula array="1">getcountrycapital(CountryTable[[#This Row],[ISO2]])</calculatedColumnFormula>
    </tableColumn>
    <tableColumn id="8" xr3:uid="{7289DFD4-167B-4F84-8504-79CBD6538010}" name="Visits" dataDxfId="37">
      <calculatedColumnFormula array="1">IFERROR(COUNTA(_xlfn.UNIQUE(_xlfn._xlws.FILTER(TripTable[Trip Name], TripTable[Country]=CountryTable[[#This Row],[Common Name]]))), 0)</calculatedColumnFormula>
    </tableColumn>
    <tableColumn id="11" xr3:uid="{9E7FB970-E652-4D56-8185-1AF664E2BDB4}" name="First Visit" dataDxfId="36">
      <calculatedColumnFormula>IF(COUNTIFS(TripTable[Country],CountryTable[[#This Row],[Common Name]])=0,"",TEXT(_xlfn.MINIFS(TripTable[Date],TripTable[Country],CountryTable[[#This Row],[Common Name]]),"MMM JJJJ"))</calculatedColumnFormula>
    </tableColumn>
    <tableColumn id="12" xr3:uid="{9B0F11B3-A2E6-4038-BE58-2B699CE16DA6}" name="Last Visit" dataDxfId="35">
      <calculatedColumnFormula>IF(COUNTIFS(TripTable[Country],CountryTable[[#This Row],[Common Name]])=0,"",TEXT(_xlfn.MAXIFS(TripTable[Date],TripTable[Country],CountryTable[[#This Row],[Common Name]]),"MMM JJJJ"))</calculatedColumnFormula>
    </tableColumn>
    <tableColumn id="9" xr3:uid="{76ABAE47-EBB2-4AB9-949B-D7BA041E4B98}" name="Wiki Page" dataDxfId="34"/>
    <tableColumn id="10" xr3:uid="{4948B9B0-CF4E-4AC2-B25A-3797C6E1B4CD}" name="Flag" dataDxfId="33">
      <calculatedColumnFormula>_xlfn.IMAGE("https://flagsapi.com/" &amp; A2 &amp; "/flat/64.png", "Flag of " &amp; A2,0)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9375126-31A2-4734-96E4-351B75BBF820}" name="TripTable" displayName="TripTable" ref="A1:G2" totalsRowShown="0" headerRowDxfId="32" dataDxfId="31">
  <autoFilter ref="A1:G2" xr:uid="{29375126-31A2-4734-96E4-351B75BBF820}"/>
  <sortState xmlns:xlrd2="http://schemas.microsoft.com/office/spreadsheetml/2017/richdata2" ref="A2:G2">
    <sortCondition ref="C1:C2"/>
  </sortState>
  <tableColumns count="7">
    <tableColumn id="1" xr3:uid="{9CD261CD-A449-49CF-9B03-3DEFD9E297A5}" name="Year" dataDxfId="30"/>
    <tableColumn id="2" xr3:uid="{24E7F84A-1307-4F0B-AE91-34645D27DCC8}" name="Month" dataDxfId="29"/>
    <tableColumn id="6" xr3:uid="{ADC5AC30-5342-42E3-8FE0-B10D0857459E}" name="Date" dataDxfId="28">
      <calculatedColumnFormula>DATE(TripTable[[#This Row],[Year]],TripTable[[#This Row],[Month]],1)</calculatedColumnFormula>
    </tableColumn>
    <tableColumn id="3" xr3:uid="{32A2DD3E-69C3-4263-8C38-4BB079870BD4}" name="Trip Name" dataDxfId="27"/>
    <tableColumn id="4" xr3:uid="{22A9873E-7A3E-47CE-92D0-878B446C6FA4}" name="Country" dataDxfId="26"/>
    <tableColumn id="5" xr3:uid="{687E7EC5-2D7C-4A94-9067-A8084C32A4FE}" name="City" dataDxfId="25"/>
    <tableColumn id="7" xr3:uid="{7210EB8F-1E88-4E62-AAD6-A38AA0BFCEA4}" name="Comment" dataDxfId="2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FBEFF89-59BC-4C91-AD6C-C0958D6385CE}" name="ByYearTable" displayName="ByYearTable" ref="A1:E19" totalsRowShown="0" headerRowDxfId="23" dataDxfId="22">
  <autoFilter ref="A1:E19" xr:uid="{CFBEFF89-59BC-4C91-AD6C-C0958D6385CE}"/>
  <tableColumns count="5">
    <tableColumn id="1" xr3:uid="{B0CD8D13-2805-40BD-9F1A-C1046933DB93}" name="Year" dataDxfId="21"/>
    <tableColumn id="4" xr3:uid="{2AAE1181-1F14-41B9-9F43-B0EFCD986003}" name="# Countries" dataDxfId="20">
      <calculatedColumnFormula array="1">IF(ByYearTable[[#This Row],[Countries]]="-",0,COUNTA(_xlfn.UNIQUE(_xlfn._xlws.FILTER(TripTable[Country], (TripTable[Year]=ByYearTable[[#This Row],[Year]])*(TripTable[Country]&lt;&gt;"")))))</calculatedColumnFormula>
    </tableColumn>
    <tableColumn id="2" xr3:uid="{090904DC-12FD-46E0-BAB3-3265F5BA376C}" name="# New Countries" dataDxfId="19">
      <calculatedColumnFormula array="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calculatedColumnFormula>
    </tableColumn>
    <tableColumn id="5" xr3:uid="{4CCE6147-E3BB-41FB-92B5-CBFF64DE088C}" name="Countries" dataDxfId="18">
      <calculatedColumnFormula array="1">IFERROR(_xlfn.TEXTJOIN("; ", TRUE, _xlfn.UNIQUE(_xlfn._xlws.FILTER(TripTable[Country], (TripTable[Year]=ByYearTable[[#This Row],[Year]])*(TripTable[Country]&lt;&gt;"")))),"-")</calculatedColumnFormula>
    </tableColumn>
    <tableColumn id="3" xr3:uid="{D4CC93DB-1CEA-40D8-9CB2-BECFDE6D2482}" name="New Countries" dataDxfId="17">
      <calculatedColumnFormula array="1">IFERROR(_xlfn.TEXTJOIN("; ",TRUE, _xlfn.UNIQUE(_xlfn._xlws.FILTER(TripTable[Country],(TripTable[Year]=ByYearTable[[#This Row],[Year]])*(TripTable[Year]=_xlfn.MAP(TripTable[Country],_xlfn.LAMBDA(_xlpm.c,_xlfn.MINIFS(TripTable[Year],TripTable[Country], _xlpm.c))))
))), "-")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0B0DE62-AF11-481B-AEEB-5FB8173D0442}" name="AirportTable" displayName="AirportTable" ref="A1:I2" totalsRowShown="0" headerRowDxfId="16" dataDxfId="15">
  <autoFilter ref="A1:I2" xr:uid="{90B0DE62-AF11-481B-AEEB-5FB8173D0442}"/>
  <tableColumns count="9">
    <tableColumn id="1" xr3:uid="{9F727D60-B4CA-4D05-B497-E9B4A9EE3610}" name="City" dataDxfId="14">
      <calculatedColumnFormula array="1">GetAirportField(AirportTable[[#This Row],[IATA Code]],"city")</calculatedColumnFormula>
    </tableColumn>
    <tableColumn id="2" xr3:uid="{2A4A0EA1-E2AE-4DCD-A44D-E5A69A8281A4}" name="Full Name" dataDxfId="13">
      <calculatedColumnFormula array="1">GetAirportField(AirportTable[[#This Row],[IATA Code]],"name")</calculatedColumnFormula>
    </tableColumn>
    <tableColumn id="3" xr3:uid="{F9D79C78-73A1-4EFD-9A77-75A75411DAE7}" name="ISO2" dataDxfId="12">
      <calculatedColumnFormula array="1">GetAirportField(AirportTable[[#This Row],[IATA Code]],"country")</calculatedColumnFormula>
    </tableColumn>
    <tableColumn id="4" xr3:uid="{E6BDF123-3DA2-4BAF-949C-7826DFA91F42}" name="IATA Code" dataDxfId="11"/>
    <tableColumn id="5" xr3:uid="{023643EE-22A6-4C36-ACF5-176D80FD75FD}" name="Lat" dataDxfId="10">
      <calculatedColumnFormula array="1">GetAirportField(AirportTable[[#This Row],[IATA Code]],"lat")</calculatedColumnFormula>
    </tableColumn>
    <tableColumn id="6" xr3:uid="{EE37166C-336A-4FF4-BCE2-66DAF1F52C6A}" name="Lon" dataDxfId="9">
      <calculatedColumnFormula array="1">GetAirportField(AirportTable[[#This Row],[IATA Code]],"lon")</calculatedColumnFormula>
    </tableColumn>
    <tableColumn id="7" xr3:uid="{8EFF6EE5-7A17-4A23-9ADE-A862F60988C7}" name="Departures" dataDxfId="8">
      <calculatedColumnFormula>COUNTIF(Flights!D:D,AirportTable[[#This Row],[IATA Code]])</calculatedColumnFormula>
    </tableColumn>
    <tableColumn id="9" xr3:uid="{F23AD5E1-008E-479A-9210-0D6CBF004780}" name="Arrivals" dataDxfId="7">
      <calculatedColumnFormula>COUNTIF(Flights!E:E,AirportTable[[#This Row],[IATA Code]])</calculatedColumnFormula>
    </tableColumn>
    <tableColumn id="8" xr3:uid="{48C5746C-D448-4B70-A183-70508D5C957A}" name="Wiki Page" dataDxfId="6">
      <calculatedColumnFormula>"https://en.wikipedia.org/wiki/" &amp; SUBSTITUTE(AirportTable[[#This Row],[Full Name]]," ","_")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CC660B5-D82E-47D5-847C-FA993C99C802}" name="FlightTable" displayName="FlightTable" ref="A1:L2" totalsRowShown="0" headerRowDxfId="5">
  <autoFilter ref="A1:L2" xr:uid="{BCC660B5-D82E-47D5-847C-FA993C99C802}"/>
  <sortState xmlns:xlrd2="http://schemas.microsoft.com/office/spreadsheetml/2017/richdata2" ref="A2:L2">
    <sortCondition ref="A1:A2"/>
  </sortState>
  <tableColumns count="12">
    <tableColumn id="14" xr3:uid="{9591FA45-ACED-4CBE-986E-3ABF3858761E}" name="Date" dataDxfId="4">
      <calculatedColumnFormula>DATE(FlightTable[[#This Row],[Year]],FlightTable[[#This Row],[Month]],1)</calculatedColumnFormula>
    </tableColumn>
    <tableColumn id="1" xr3:uid="{20A44235-2849-443F-A9A3-27FFF9366B94}" name="Year" dataDxfId="3"/>
    <tableColumn id="2" xr3:uid="{D1395105-E468-43FC-96E2-A7C9909897C3}" name="Month"/>
    <tableColumn id="3" xr3:uid="{CE31E8FA-4857-4FB4-B3D3-BA8B6E282A90}" name="Origin IATA"/>
    <tableColumn id="4" xr3:uid="{3A9EA5E4-AD40-4909-A00C-6D32BBD59AB4}" name="Destination IATA"/>
    <tableColumn id="6" xr3:uid="{BD90296D-C8E2-43CF-8143-192CC1BEEA28}" name="Origin City"/>
    <tableColumn id="7" xr3:uid="{8256D683-BDA2-4AEF-B23D-8F271AE3A998}" name="Destination City"/>
    <tableColumn id="9" xr3:uid="{77B9C65F-124D-4AE4-A76F-37C18AE28EE1}" name="Origin Country"/>
    <tableColumn id="8" xr3:uid="{50CF7F07-FCC3-45E8-B44B-810949CEC2E8}" name="Destination Country"/>
    <tableColumn id="11" xr3:uid="{6FCF0D8F-0905-4503-ACFD-29F59E557895}" name="Airline" dataDxfId="2"/>
    <tableColumn id="12" xr3:uid="{C2D80F1A-57CC-449A-9FE1-1CF7F9ABA571}" name="ICAO" dataDxfId="1">
      <calculatedColumnFormula>_xlfn.XLOOKUP(FlightTable[[#This Row],[Airline]], AirlineTable[Name], AirlineTable[ICAO], "")</calculatedColumnFormula>
    </tableColumn>
    <tableColumn id="5" xr3:uid="{DBB7B56E-C2B7-4741-9826-E69F63B4D5A7}" name="Trip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35F7AEE-45F3-451E-9119-97A232751A41}" name="AirlineTable" displayName="AirlineTable" ref="A1:F34" totalsRowShown="0">
  <autoFilter ref="A1:F34" xr:uid="{235F7AEE-45F3-451E-9119-97A232751A41}"/>
  <sortState xmlns:xlrd2="http://schemas.microsoft.com/office/spreadsheetml/2017/richdata2" ref="A2:F34">
    <sortCondition ref="C1:C34"/>
  </sortState>
  <tableColumns count="6">
    <tableColumn id="1" xr3:uid="{0D2F9A7E-1E85-4E68-905D-75E01141D2C6}" name="IATA"/>
    <tableColumn id="2" xr3:uid="{7D6C3FDE-6713-4C2C-8B25-127BE0CCE05D}" name="ICAO"/>
    <tableColumn id="3" xr3:uid="{523D7B85-8188-4E19-975A-6C47293F3CCD}" name="Name"/>
    <tableColumn id="4" xr3:uid="{C260EF44-533F-41F3-9391-DB23375E34E4}" name="Country"/>
    <tableColumn id="5" xr3:uid="{5DCE1BB8-141E-40B2-9597-DD72471DFDF0}" name="Main Hub"/>
    <tableColumn id="6" xr3:uid="{CDE954F4-5371-4B02-B154-F554BC0D47A2}" name="Logo UR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hyperlink" Target="https://upload.wikimedia.org/wikipedia/commons/thumb/d/d1/Delta_logo.svg/1920px-Delta_logo.svg.png" TargetMode="External"/><Relationship Id="rId18" Type="http://schemas.openxmlformats.org/officeDocument/2006/relationships/hyperlink" Target="https://upload.wikimedia.org/wikipedia/commons/thumb/2/23/Logotipo_de_Iberia.svg/1920px-Logotipo_de_Iberia.svg.png" TargetMode="External"/><Relationship Id="rId26" Type="http://schemas.openxmlformats.org/officeDocument/2006/relationships/hyperlink" Target="https://upload.wikimedia.org/wikipedia/commons/thumb/9/97/Air_New_Zealand_logo.svg/1920px-Air_New_Zealand_logo.svg.png" TargetMode="External"/><Relationship Id="rId3" Type="http://schemas.openxmlformats.org/officeDocument/2006/relationships/hyperlink" Target="https://upload.wikimedia.org/wikipedia/commons/thumb/5/59/Air_Europa_Logo_%282015%29.svg/1920px-Air_Europa_Logo_%282015%29.svg.png" TargetMode="External"/><Relationship Id="rId21" Type="http://schemas.openxmlformats.org/officeDocument/2006/relationships/hyperlink" Target="https://upload.wikimedia.org/wikipedia/commons/thumb/d/d9/SunExpress_Logo.svg/1920px-SunExpress_Logo.svg.png" TargetMode="External"/><Relationship Id="rId34" Type="http://schemas.openxmlformats.org/officeDocument/2006/relationships/table" Target="../tables/table7.xml"/><Relationship Id="rId7" Type="http://schemas.openxmlformats.org/officeDocument/2006/relationships/hyperlink" Target="https://upload.wikimedia.org/wikipedia/en/thumb/d/d5/Ryanair.svg/3840px-Ryanair.svg.png" TargetMode="External"/><Relationship Id="rId12" Type="http://schemas.openxmlformats.org/officeDocument/2006/relationships/hyperlink" Target="https://upload.wikimedia.org/wikipedia/commons/thumb/1/1d/Emirates_Logo.svg/1920px-Emirates_Logo.svg.png" TargetMode="External"/><Relationship Id="rId17" Type="http://schemas.openxmlformats.org/officeDocument/2006/relationships/hyperlink" Target="https://upload.wikimedia.org/wikipedia/commons/thumb/6/6b/Logo_airmalta.svg/1920px-Logo_airmalta.svg.png" TargetMode="External"/><Relationship Id="rId25" Type="http://schemas.openxmlformats.org/officeDocument/2006/relationships/hyperlink" Target="https://upload.wikimedia.org/wikipedia/commons/thumb/f/f8/Swiss_International_Air_Lines_Logo_2011.svg/1920px-Swiss_International_Air_Lines_Logo_2011.svg.png" TargetMode="External"/><Relationship Id="rId33" Type="http://schemas.openxmlformats.org/officeDocument/2006/relationships/hyperlink" Target="https://upload.wikimedia.org/wikipedia/commons/0/0f/Chongqing_Airlines_logo.png" TargetMode="External"/><Relationship Id="rId2" Type="http://schemas.openxmlformats.org/officeDocument/2006/relationships/hyperlink" Target="https://upload.wikimedia.org/wikipedia/en/thumb/a/a4/Air_China_logo.svg/1920px-Air_China_logo.svg.png" TargetMode="External"/><Relationship Id="rId16" Type="http://schemas.openxmlformats.org/officeDocument/2006/relationships/hyperlink" Target="https://upload.wikimedia.org/wikipedia/commons/thumb/f/f5/AirAsia_New_Logo.svg/1280px-AirAsia_New_Logo.svg.png" TargetMode="External"/><Relationship Id="rId20" Type="http://schemas.openxmlformats.org/officeDocument/2006/relationships/hyperlink" Target="https://upload.wikimedia.org/wikipedia/en/thumb/e/e7/WOW_air_logo.svg/960px-WOW_air_logo.svg.png" TargetMode="External"/><Relationship Id="rId29" Type="http://schemas.openxmlformats.org/officeDocument/2006/relationships/hyperlink" Target="https://upload.wikimedia.org/wikipedia/en/thumb/6/6b/China_Eastern_Airlines_logo.svg/1920px-China_Eastern_Airlines_logo.svg.png" TargetMode="External"/><Relationship Id="rId1" Type="http://schemas.openxmlformats.org/officeDocument/2006/relationships/hyperlink" Target="https://upload.wikimedia.org/wikipedia/commons/thumb/b/b8/Lufthansa_Logo_2018.svg/1920px-Lufthansa_Logo_2018.svg.png" TargetMode="External"/><Relationship Id="rId6" Type="http://schemas.openxmlformats.org/officeDocument/2006/relationships/hyperlink" Target="https://upload.wikimedia.org/wikipedia/commons/thumb/1/1f/Viva_Logo.svg/1920px-Viva_Logo.svg.png" TargetMode="External"/><Relationship Id="rId11" Type="http://schemas.openxmlformats.org/officeDocument/2006/relationships/hyperlink" Target="https://upload.wikimedia.org/wikipedia/en/thumb/9/94/Loganair_logo.svg/1920px-Loganair_logo.svg.png" TargetMode="External"/><Relationship Id="rId24" Type="http://schemas.openxmlformats.org/officeDocument/2006/relationships/hyperlink" Target="https://upload.wikimedia.org/wikipedia/commons/thumb/c/c7/KLM_logo.svg/1280px-KLM_logo.svg.png" TargetMode="External"/><Relationship Id="rId32" Type="http://schemas.openxmlformats.org/officeDocument/2006/relationships/hyperlink" Target="https://upload.wikimedia.org/wikipedia/en/thumb/0/0d/Sichuan_Airlines_logo.svg/1920px-Sichuan_Airlines_logo.svg.png" TargetMode="External"/><Relationship Id="rId5" Type="http://schemas.openxmlformats.org/officeDocument/2006/relationships/hyperlink" Target="https://upload.wikimedia.org/wikipedia/en/thumb/5/5a/Copa_airlines_logo.svg/1920px-Copa_airlines_logo.svg.png" TargetMode="External"/><Relationship Id="rId15" Type="http://schemas.openxmlformats.org/officeDocument/2006/relationships/hyperlink" Target="https://upload.wikimedia.org/wikipedia/commons/thumb/c/cf/Tigerair.svg/1920px-Tigerair.svg.png" TargetMode="External"/><Relationship Id="rId23" Type="http://schemas.openxmlformats.org/officeDocument/2006/relationships/hyperlink" Target="https://upload.wikimedia.org/wikipedia/en/thumb/b/b6/Vietnam_Airlines_logo_2015.svg/1920px-Vietnam_Airlines_logo_2015.svg.png" TargetMode="External"/><Relationship Id="rId28" Type="http://schemas.openxmlformats.org/officeDocument/2006/relationships/hyperlink" Target="https://upload.wikimedia.org/wikipedia/commons/thumb/1/1b/EasyJet_logo.svg/1920px-EasyJet_logo.svg.png" TargetMode="External"/><Relationship Id="rId10" Type="http://schemas.openxmlformats.org/officeDocument/2006/relationships/hyperlink" Target="https://upload.wikimedia.org/wikipedia/en/thumb/3/3d/LOT_Polish_Airlines.svg/1920px-LOT_Polish_Airlines.svg.png" TargetMode="External"/><Relationship Id="rId19" Type="http://schemas.openxmlformats.org/officeDocument/2006/relationships/hyperlink" Target="https://upload.wikimedia.org/wikipedia/commons/thumb/f/fd/TAP-Portugal-Logo.svg/1920px-TAP-Portugal-Logo.svg.png" TargetMode="External"/><Relationship Id="rId31" Type="http://schemas.openxmlformats.org/officeDocument/2006/relationships/hyperlink" Target="https://upload.wikimedia.org/wikipedia/commons/thumb/0/00/Turkish_Airlines_logo_2019_compact.svg/1920px-Turkish_Airlines_logo_2019_compact.svg.png" TargetMode="External"/><Relationship Id="rId4" Type="http://schemas.openxmlformats.org/officeDocument/2006/relationships/hyperlink" Target="https://upload.wikimedia.org/wikipedia/en/thumb/8/81/Austrian_Airlines_logo.svg/1920px-Austrian_Airlines_logo.svg.png" TargetMode="External"/><Relationship Id="rId9" Type="http://schemas.openxmlformats.org/officeDocument/2006/relationships/hyperlink" Target="https://upload.wikimedia.org/wikipedia/en/thumb/4/49/Germanwings_logo.svg/1920px-Germanwings_logo.svg.png" TargetMode="External"/><Relationship Id="rId14" Type="http://schemas.openxmlformats.org/officeDocument/2006/relationships/hyperlink" Target="https://upload.wikimedia.org/wikipedia/en/thumb/e/e0/United_Airlines_Logo.svg/1920px-United_Airlines_Logo.svg.png" TargetMode="External"/><Relationship Id="rId22" Type="http://schemas.openxmlformats.org/officeDocument/2006/relationships/hyperlink" Target="https://upload.wikimedia.org/wikipedia/commons/thumb/9/9d/Vanilla_Air_logo.svg/1920px-Vanilla_Air_logo.svg.png" TargetMode="External"/><Relationship Id="rId27" Type="http://schemas.openxmlformats.org/officeDocument/2006/relationships/hyperlink" Target="https://upload.wikimedia.org/wikipedia/en/a/a7/Bluebird_Airways_Logo.png" TargetMode="External"/><Relationship Id="rId30" Type="http://schemas.openxmlformats.org/officeDocument/2006/relationships/hyperlink" Target="https://upload.wikimedia.org/wikipedia/en/thumb/b/b4/China_Southern_Airlines_logo.svg/1920px-China_Southern_Airlines_logo.svg.png" TargetMode="External"/><Relationship Id="rId8" Type="http://schemas.openxmlformats.org/officeDocument/2006/relationships/hyperlink" Target="https://upload.wikimedia.org/wikipedia/commons/thumb/b/b4/Eurowings_Logo.svg/1920px-Eurowings_Logo.svg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2C6EF-18A1-4F4D-BD59-4C24FD45136A}">
  <sheetPr codeName="Tabelle5">
    <tabColor rgb="FF7030A0"/>
  </sheetPr>
  <dimension ref="A1"/>
  <sheetViews>
    <sheetView workbookViewId="0">
      <selection activeCell="E11" sqref="E11"/>
    </sheetView>
  </sheetViews>
  <sheetFormatPr baseColWidth="10" defaultRowHeight="12.5" x14ac:dyDescent="0.25"/>
  <sheetData/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ShowDashboardInBrowser">
                <anchor moveWithCells="1" sizeWithCells="1">
                  <from>
                    <xdr:col>4</xdr:col>
                    <xdr:colOff>749300</xdr:colOff>
                    <xdr:row>1</xdr:row>
                    <xdr:rowOff>6350</xdr:rowOff>
                  </from>
                  <to>
                    <xdr:col>7</xdr:col>
                    <xdr:colOff>755650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4" name="Button 4">
              <controlPr defaultSize="0" print="0" autoFill="0" autoPict="0" macro="[0]!ShowCitiesCountriesMapInBrowser">
                <anchor moveWithCells="1" sizeWithCells="1">
                  <from>
                    <xdr:col>1</xdr:col>
                    <xdr:colOff>0</xdr:colOff>
                    <xdr:row>1</xdr:row>
                    <xdr:rowOff>6350</xdr:rowOff>
                  </from>
                  <to>
                    <xdr:col>3</xdr:col>
                    <xdr:colOff>749300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8" r:id="rId5" name="Button 6">
              <controlPr defaultSize="0" print="0" autoFill="0" autoPict="0" macro="[0]!ShowYearlyOverviewInBrowser">
                <anchor moveWithCells="1" sizeWithCells="1">
                  <from>
                    <xdr:col>4</xdr:col>
                    <xdr:colOff>749300</xdr:colOff>
                    <xdr:row>5</xdr:row>
                    <xdr:rowOff>6350</xdr:rowOff>
                  </from>
                  <to>
                    <xdr:col>8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6" name="Button 8">
              <controlPr defaultSize="0" print="0" autoFill="0" autoPict="0" macro="[0]!ShowAviationMapInBrowser">
                <anchor moveWithCells="1" sizeWithCells="1">
                  <from>
                    <xdr:col>1</xdr:col>
                    <xdr:colOff>6350</xdr:colOff>
                    <xdr:row>4</xdr:row>
                    <xdr:rowOff>152400</xdr:rowOff>
                  </from>
                  <to>
                    <xdr:col>4</xdr:col>
                    <xdr:colOff>6350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83D2-241A-4381-96E3-E1483713208E}">
  <sheetPr codeName="Tabelle11">
    <tabColor theme="7" tint="-0.499984740745262"/>
  </sheetPr>
  <dimension ref="A1:P3"/>
  <sheetViews>
    <sheetView tabSelected="1" showOutlineSymbols="0" showWhiteSpace="0" workbookViewId="0">
      <pane ySplit="1" topLeftCell="A2" activePane="bottomLeft" state="frozen"/>
      <selection pane="bottomLeft" activeCell="C7" sqref="C7"/>
    </sheetView>
  </sheetViews>
  <sheetFormatPr baseColWidth="10" defaultRowHeight="12.5" x14ac:dyDescent="0.25"/>
  <cols>
    <col min="1" max="1" width="9.54296875" customWidth="1"/>
    <col min="2" max="2" width="24.1796875" bestFit="1" customWidth="1"/>
    <col min="3" max="3" width="23.1796875" customWidth="1"/>
    <col min="4" max="4" width="19.1796875" bestFit="1" customWidth="1"/>
    <col min="5" max="5" width="10.81640625" style="11" customWidth="1"/>
    <col min="6" max="6" width="11.26953125" style="11" customWidth="1"/>
    <col min="7" max="7" width="14.26953125" style="9" bestFit="1" customWidth="1"/>
    <col min="8" max="8" width="8" style="28" bestFit="1" customWidth="1"/>
    <col min="9" max="9" width="10.54296875" style="28" customWidth="1"/>
    <col min="10" max="10" width="12.26953125" style="29" customWidth="1"/>
    <col min="11" max="11" width="11.453125" style="29"/>
    <col min="16" max="16" width="17.1796875" style="1" customWidth="1"/>
  </cols>
  <sheetData>
    <row r="1" spans="1:16" s="20" customFormat="1" x14ac:dyDescent="0.25">
      <c r="A1" s="19" t="s">
        <v>75</v>
      </c>
      <c r="B1" s="18" t="s">
        <v>0</v>
      </c>
      <c r="C1" s="18" t="s">
        <v>65</v>
      </c>
      <c r="D1" s="18" t="s">
        <v>73</v>
      </c>
      <c r="E1" s="11" t="s">
        <v>59</v>
      </c>
      <c r="F1" s="11" t="s">
        <v>66</v>
      </c>
      <c r="G1" s="25" t="s">
        <v>37</v>
      </c>
      <c r="H1" s="26" t="s">
        <v>38</v>
      </c>
      <c r="I1" s="26" t="s">
        <v>230</v>
      </c>
      <c r="J1" s="27" t="s">
        <v>39</v>
      </c>
      <c r="K1" s="27" t="s">
        <v>40</v>
      </c>
      <c r="P1" s="24"/>
    </row>
    <row r="2" spans="1:16" x14ac:dyDescent="0.25">
      <c r="A2" s="32" t="e">
        <f>_xlfn.XLOOKUP(CityTable[[#This Row],[Country]], CountryTable[Common Name], CountryTable[ISO2])</f>
        <v>#N/A</v>
      </c>
      <c r="B2" s="2" t="s">
        <v>4</v>
      </c>
      <c r="C2" s="2" t="s">
        <v>61</v>
      </c>
      <c r="D2" s="2"/>
      <c r="E2" s="11" t="e">
        <v>#VALUE!</v>
      </c>
      <c r="F2" s="11" t="e" cm="1">
        <f t="array" ref="F2">GetCityLongitude(CityTable[[#This Row],[Name]],CityTable[[#This Row],[ISO2]])</f>
        <v>#VALUE!</v>
      </c>
      <c r="G2" s="25" t="e" cm="1">
        <f t="array" ref="G2">GetCityPopulation(CityTable[[#This Row],[Name]] &amp; ", " &amp; CityTable[[#This Row],[Country]],CityTable[[#This Row],[ISO2]])</f>
        <v>#VALUE!</v>
      </c>
      <c r="H2" s="28" cm="1">
        <f t="array" ref="H2">IFERROR(COUNTA(_xlfn.UNIQUE(_xlfn._xlws.FILTER(TripTable[Trip Name], (TripTable[City]=CityTable[[#This Row],[Name]])*(TripTable[City]&lt;&gt;"")))), 0)</f>
        <v>1</v>
      </c>
      <c r="I2" s="30" t="b">
        <v>1</v>
      </c>
      <c r="J2" s="29" t="str">
        <f>IF(COUNTIFS(TripTable[City],CityTable[[#This Row],[Name]])=0,"",TEXT(_xlfn.MINIFS(TripTable[Date],TripTable[City],CityTable[[#This Row],[Name]]),"MMM JJJJ"))</f>
        <v/>
      </c>
      <c r="K2" s="29" t="str">
        <f>IF(COUNTIFS(TripTable[City],CityTable[[#This Row],[Name]])=0,"",TEXT(_xlfn.MAXIFS(TripTable[Date],TripTable[City],CityTable[[#This Row],[Name]]),"MMM JJJJ"))</f>
        <v/>
      </c>
    </row>
    <row r="3" spans="1:16" x14ac:dyDescent="0.25">
      <c r="A3" s="32" t="e">
        <f>_xlfn.XLOOKUP(CityTable[[#This Row],[Country]], CountryTable[Common Name], CountryTable[ISO2])</f>
        <v>#N/A</v>
      </c>
      <c r="B3" s="2" t="s">
        <v>22</v>
      </c>
      <c r="C3" s="2" t="s">
        <v>232</v>
      </c>
      <c r="D3" s="2"/>
      <c r="E3" s="11" t="e" cm="1">
        <f t="array" ref="E3">GetCityLatitude(CityTable[[#This Row],[Name]],CityTable[[#This Row],[ISO2]])</f>
        <v>#VALUE!</v>
      </c>
      <c r="F3" s="11" t="e" cm="1">
        <f t="array" ref="F3">GetCityLongitude(CityTable[[#This Row],[Name]],CityTable[[#This Row],[ISO2]])</f>
        <v>#VALUE!</v>
      </c>
      <c r="G3" s="25" t="e" cm="1">
        <f t="array" ref="G3">GetCityPopulation(CityTable[[#This Row],[Name]] &amp; ", " &amp; CityTable[[#This Row],[Country]],CityTable[[#This Row],[ISO2]])</f>
        <v>#VALUE!</v>
      </c>
      <c r="H3" s="28" cm="1">
        <f t="array" ref="H3">IFERROR(COUNTA(_xlfn.UNIQUE(_xlfn._xlws.FILTER(TripTable[Trip Name], (TripTable[City]=CityTable[[#This Row],[Name]])*(TripTable[City]&lt;&gt;"")))), 0)</f>
        <v>1</v>
      </c>
      <c r="I3" s="30" t="b">
        <v>0</v>
      </c>
      <c r="J3" s="29" t="str">
        <f>IF(COUNTIFS(TripTable[City],CityTable[[#This Row],[Name]])=0,"",TEXT(_xlfn.MINIFS(TripTable[Date],TripTable[City],CityTable[[#This Row],[Name]]),"MMM JJJJ"))</f>
        <v/>
      </c>
      <c r="K3" s="29" t="str">
        <f>IF(COUNTIFS(TripTable[City],CityTable[[#This Row],[Name]])=0,"",TEXT(_xlfn.MAXIFS(TripTable[Date],TripTable[City],CityTable[[#This Row],[Name]]),"MMM JJJJ"))</f>
        <v/>
      </c>
    </row>
  </sheetData>
  <phoneticPr fontId="5" type="noConversion"/>
  <pageMargins left="0.7" right="0.7" top="0.78740157499999996" bottom="0.78740157499999996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DFC0E-2C66-4535-B695-954EE8E3E8F3}">
  <sheetPr codeName="Tabelle7">
    <tabColor theme="7" tint="-0.249977111117893"/>
  </sheetPr>
  <dimension ref="A1:L2"/>
  <sheetViews>
    <sheetView showOutlineSymbols="0" showWhiteSpace="0" workbookViewId="0">
      <pane ySplit="1" topLeftCell="A2" activePane="bottomLeft" state="frozen"/>
      <selection pane="bottomLeft" activeCell="A2" sqref="A2"/>
    </sheetView>
  </sheetViews>
  <sheetFormatPr baseColWidth="10" defaultRowHeight="12.5" x14ac:dyDescent="0.25"/>
  <cols>
    <col min="1" max="1" width="16" style="6" customWidth="1"/>
    <col min="2" max="2" width="15.54296875" style="6" customWidth="1"/>
    <col min="3" max="3" width="22" style="6" customWidth="1"/>
    <col min="4" max="4" width="37.1796875" style="6" customWidth="1"/>
    <col min="5" max="6" width="16.453125" style="6" bestFit="1" customWidth="1"/>
    <col min="7" max="7" width="18.453125" style="6" bestFit="1" customWidth="1"/>
    <col min="8" max="8" width="10.1796875" style="6" bestFit="1" customWidth="1"/>
    <col min="9" max="9" width="13.54296875" style="6" bestFit="1" customWidth="1"/>
    <col min="10" max="10" width="13.453125" style="6" bestFit="1" customWidth="1"/>
    <col min="11" max="11" width="10" style="6" customWidth="1"/>
    <col min="18" max="18" width="7.54296875" bestFit="1" customWidth="1"/>
  </cols>
  <sheetData>
    <row r="1" spans="1:12" s="4" customFormat="1" ht="39.25" customHeight="1" x14ac:dyDescent="0.25">
      <c r="A1" s="3" t="s">
        <v>75</v>
      </c>
      <c r="B1" s="3" t="s">
        <v>74</v>
      </c>
      <c r="C1" s="4" t="s">
        <v>77</v>
      </c>
      <c r="D1" s="4" t="s">
        <v>78</v>
      </c>
      <c r="E1" s="4" t="s">
        <v>37</v>
      </c>
      <c r="F1" s="4" t="s">
        <v>76</v>
      </c>
      <c r="G1" s="4" t="s">
        <v>60</v>
      </c>
      <c r="H1" s="4" t="s">
        <v>38</v>
      </c>
      <c r="I1" s="4" t="s">
        <v>39</v>
      </c>
      <c r="J1" s="4" t="s">
        <v>40</v>
      </c>
      <c r="K1" s="4" t="s">
        <v>68</v>
      </c>
      <c r="L1" s="4" t="s">
        <v>1</v>
      </c>
    </row>
    <row r="2" spans="1:12" ht="39.25" customHeight="1" x14ac:dyDescent="0.25">
      <c r="A2" s="5" t="s">
        <v>233</v>
      </c>
      <c r="B2" s="7" t="s">
        <v>70</v>
      </c>
      <c r="C2" s="33" t="e">
        <v>#N/A</v>
      </c>
      <c r="D2" s="34" t="e" cm="1">
        <f t="array" ref="D2">getcountryformalname(CountryTable[[#This Row],[ISO2]])</f>
        <v>#N/A</v>
      </c>
      <c r="E2" s="9" cm="1">
        <f t="array" ref="E2">GetCountryPopulation(CountryTable[[#This Row],[ISO2]])</f>
        <v>66488991</v>
      </c>
      <c r="F2" s="9" cm="1">
        <f t="array" ref="F2">getcountryarea(CountryTable[[#This Row],[ISO2]])</f>
        <v>2448200</v>
      </c>
      <c r="G2" s="33" t="str" cm="1">
        <f t="array" ref="G2">getcountrycapital(CountryTable[[#This Row],[ISO2]])</f>
        <v>London</v>
      </c>
      <c r="H2" s="33" cm="1">
        <f t="array" ref="H2">IFERROR(COUNTA(_xlfn.UNIQUE(_xlfn._xlws.FILTER(TripTable[Trip Name], TripTable[Country]=CountryTable[[#This Row],[Common Name]]))), 0)</f>
        <v>1</v>
      </c>
      <c r="I2" s="33" t="str">
        <f>IF(COUNTIFS(TripTable[Country],CountryTable[[#This Row],[Common Name]])=0,"",TEXT(_xlfn.MINIFS(TripTable[Date],TripTable[Country],CountryTable[[#This Row],[Common Name]]),"MMM JJJJ"))</f>
        <v/>
      </c>
      <c r="J2" s="33" t="str">
        <f>IF(COUNTIFS(TripTable[Country],CountryTable[[#This Row],[Common Name]])=0,"",TEXT(_xlfn.MAXIFS(TripTable[Date],TripTable[Country],CountryTable[[#This Row],[Common Name]]),"MMM JJJJ"))</f>
        <v/>
      </c>
      <c r="K2" s="8"/>
      <c r="L2" s="6" t="e" vm="1">
        <f ca="1">_xlfn.IMAGE("https://flagsapi.com/" &amp; A2 &amp; "/flat/64.png", "Flag of " &amp; A2,0)</f>
        <v>#VALUE!</v>
      </c>
    </row>
  </sheetData>
  <conditionalFormatting sqref="A1:L2 A3:K1048576">
    <cfRule type="expression" dxfId="0" priority="1">
      <formula>$H1&lt;1</formula>
    </cfRule>
  </conditionalFormatting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6D3374-2A96-4654-9095-8718CE7ACE40}">
  <sheetPr codeName="Tabelle12">
    <tabColor theme="7" tint="0.39997558519241921"/>
  </sheetPr>
  <dimension ref="A1:G2"/>
  <sheetViews>
    <sheetView showOutlineSymbols="0" showWhiteSpace="0" workbookViewId="0">
      <pane ySplit="1" topLeftCell="A2" activePane="bottomLeft" state="frozen"/>
      <selection pane="bottomLeft" activeCell="B11" sqref="B11"/>
    </sheetView>
  </sheetViews>
  <sheetFormatPr baseColWidth="10" defaultRowHeight="12.5" x14ac:dyDescent="0.25"/>
  <cols>
    <col min="1" max="2" width="10.81640625" style="20"/>
    <col min="3" max="3" width="13.453125" style="23" customWidth="1"/>
    <col min="4" max="4" width="29.453125" style="20" customWidth="1"/>
    <col min="5" max="5" width="20.453125" style="20" customWidth="1"/>
    <col min="6" max="6" width="28.1796875" style="21" customWidth="1"/>
    <col min="7" max="7" width="26.81640625" style="21" customWidth="1"/>
    <col min="8" max="8" width="10.81640625" customWidth="1"/>
    <col min="11" max="11" width="10.81640625" customWidth="1"/>
  </cols>
  <sheetData>
    <row r="1" spans="1:7" x14ac:dyDescent="0.25">
      <c r="A1" s="18" t="s">
        <v>71</v>
      </c>
      <c r="B1" s="18" t="s">
        <v>25</v>
      </c>
      <c r="C1" s="22" t="s">
        <v>93</v>
      </c>
      <c r="D1" s="18" t="s">
        <v>72</v>
      </c>
      <c r="E1" s="18" t="s">
        <v>0</v>
      </c>
      <c r="F1" s="19" t="s">
        <v>35</v>
      </c>
      <c r="G1" s="19" t="s">
        <v>231</v>
      </c>
    </row>
    <row r="2" spans="1:7" x14ac:dyDescent="0.25">
      <c r="A2" s="18"/>
      <c r="C2" s="23" t="e">
        <f>DATE(TripTable[[#This Row],[Year]],TripTable[[#This Row],[Month]],1)</f>
        <v>#NUM!</v>
      </c>
      <c r="D2" s="18"/>
      <c r="E2" s="18"/>
      <c r="F2" s="19"/>
      <c r="G2" s="19"/>
    </row>
  </sheetData>
  <phoneticPr fontId="6" type="noConversion"/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637E9-EDB3-45E3-8D0E-D05689944264}">
  <sheetPr codeName="Tabelle1">
    <tabColor theme="7" tint="0.79998168889431442"/>
  </sheetPr>
  <dimension ref="A1:E19"/>
  <sheetViews>
    <sheetView workbookViewId="0">
      <pane ySplit="1" topLeftCell="A2" activePane="bottomLeft" state="frozen"/>
      <selection pane="bottomLeft" activeCell="B13" sqref="B13"/>
    </sheetView>
  </sheetViews>
  <sheetFormatPr baseColWidth="10" defaultRowHeight="12.5" x14ac:dyDescent="0.25"/>
  <cols>
    <col min="1" max="1" width="9.26953125" style="6" bestFit="1" customWidth="1"/>
    <col min="2" max="2" width="15.26953125" style="6" bestFit="1" customWidth="1"/>
    <col min="3" max="3" width="19.453125" style="6" bestFit="1" customWidth="1"/>
    <col min="4" max="4" width="32.54296875" style="20" customWidth="1"/>
    <col min="5" max="5" width="32.453125" style="21" customWidth="1"/>
  </cols>
  <sheetData>
    <row r="1" spans="1:5" x14ac:dyDescent="0.25">
      <c r="A1" s="7" t="s">
        <v>71</v>
      </c>
      <c r="B1" s="7" t="s">
        <v>227</v>
      </c>
      <c r="C1" s="7" t="s">
        <v>229</v>
      </c>
      <c r="D1" s="18" t="s">
        <v>228</v>
      </c>
      <c r="E1" s="19" t="s">
        <v>226</v>
      </c>
    </row>
    <row r="2" spans="1:5" x14ac:dyDescent="0.25">
      <c r="A2" s="6">
        <v>2010</v>
      </c>
      <c r="B2" s="6" cm="1">
        <f t="array" ref="B2">IF(ByYearTable[[#This Row],[Countries]]="-",0,COUNTA(_xlfn.UNIQUE(_xlfn._xlws.FILTER(TripTable[Country], (TripTable[Year]=ByYearTable[[#This Row],[Year]])*(TripTable[Country]&lt;&gt;"")))))</f>
        <v>0</v>
      </c>
      <c r="C2" s="6" cm="1">
        <f t="array" ref="C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2" s="21" t="str" cm="1">
        <f t="array" ref="D2">IFERROR(_xlfn.TEXTJOIN("; ", TRUE, _xlfn.UNIQUE(_xlfn._xlws.FILTER(TripTable[Country], (TripTable[Year]=ByYearTable[[#This Row],[Year]])*(TripTable[Country]&lt;&gt;"")))),"-")</f>
        <v>-</v>
      </c>
      <c r="E2" s="21" t="str" cm="1">
        <f t="array" ref="E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3" spans="1:5" x14ac:dyDescent="0.25">
      <c r="A3" s="6">
        <v>2011</v>
      </c>
      <c r="B3" s="6" cm="1">
        <f t="array" ref="B3">IF(ByYearTable[[#This Row],[Countries]]="-",0,COUNTA(_xlfn.UNIQUE(_xlfn._xlws.FILTER(TripTable[Country], (TripTable[Year]=ByYearTable[[#This Row],[Year]])*(TripTable[Country]&lt;&gt;"")))))</f>
        <v>0</v>
      </c>
      <c r="C3" s="6" cm="1">
        <f t="array" ref="C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3" s="21" t="str" cm="1">
        <f t="array" ref="D3">IFERROR(_xlfn.TEXTJOIN("; ", TRUE, _xlfn.UNIQUE(_xlfn._xlws.FILTER(TripTable[Country], (TripTable[Year]=ByYearTable[[#This Row],[Year]])*(TripTable[Country]&lt;&gt;"")))),"-")</f>
        <v>-</v>
      </c>
      <c r="E3" s="21" t="str" cm="1">
        <f t="array" ref="E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4" spans="1:5" x14ac:dyDescent="0.25">
      <c r="A4" s="6">
        <v>2012</v>
      </c>
      <c r="B4" s="6" cm="1">
        <f t="array" ref="B4">IF(ByYearTable[[#This Row],[Countries]]="-",0,COUNTA(_xlfn.UNIQUE(_xlfn._xlws.FILTER(TripTable[Country], (TripTable[Year]=ByYearTable[[#This Row],[Year]])*(TripTable[Country]&lt;&gt;"")))))</f>
        <v>0</v>
      </c>
      <c r="C4" s="6" cm="1">
        <f t="array" ref="C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4" s="21" t="str" cm="1">
        <f t="array" ref="D4">IFERROR(_xlfn.TEXTJOIN("; ", TRUE, _xlfn.UNIQUE(_xlfn._xlws.FILTER(TripTable[Country], (TripTable[Year]=ByYearTable[[#This Row],[Year]])*(TripTable[Country]&lt;&gt;"")))),"-")</f>
        <v>-</v>
      </c>
      <c r="E4" s="21" t="str" cm="1">
        <f t="array" ref="E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5" spans="1:5" x14ac:dyDescent="0.25">
      <c r="A5" s="6">
        <v>2013</v>
      </c>
      <c r="B5" s="6" cm="1">
        <f t="array" ref="B5">IF(ByYearTable[[#This Row],[Countries]]="-",0,COUNTA(_xlfn.UNIQUE(_xlfn._xlws.FILTER(TripTable[Country], (TripTable[Year]=ByYearTable[[#This Row],[Year]])*(TripTable[Country]&lt;&gt;"")))))</f>
        <v>0</v>
      </c>
      <c r="C5" s="6" cm="1">
        <f t="array" ref="C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5" s="21" t="str" cm="1">
        <f t="array" ref="D5">IFERROR(_xlfn.TEXTJOIN("; ", TRUE, _xlfn.UNIQUE(_xlfn._xlws.FILTER(TripTable[Country], (TripTable[Year]=ByYearTable[[#This Row],[Year]])*(TripTable[Country]&lt;&gt;"")))),"-")</f>
        <v>-</v>
      </c>
      <c r="E5" s="21" t="str" cm="1">
        <f t="array" ref="E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6" spans="1:5" x14ac:dyDescent="0.25">
      <c r="A6" s="6">
        <v>2014</v>
      </c>
      <c r="B6" s="6" cm="1">
        <f t="array" ref="B6">IF(ByYearTable[[#This Row],[Countries]]="-",0,COUNTA(_xlfn.UNIQUE(_xlfn._xlws.FILTER(TripTable[Country], (TripTable[Year]=ByYearTable[[#This Row],[Year]])*(TripTable[Country]&lt;&gt;"")))))</f>
        <v>0</v>
      </c>
      <c r="C6" s="6" cm="1">
        <f t="array" ref="C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6" s="21" t="str" cm="1">
        <f t="array" ref="D6">IFERROR(_xlfn.TEXTJOIN("; ", TRUE, _xlfn.UNIQUE(_xlfn._xlws.FILTER(TripTable[Country], (TripTable[Year]=ByYearTable[[#This Row],[Year]])*(TripTable[Country]&lt;&gt;"")))),"-")</f>
        <v>-</v>
      </c>
      <c r="E6" s="21" t="str" cm="1">
        <f t="array" ref="E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7" spans="1:5" x14ac:dyDescent="0.25">
      <c r="A7" s="6">
        <v>2015</v>
      </c>
      <c r="B7" s="6" cm="1">
        <f t="array" ref="B7">IF(ByYearTable[[#This Row],[Countries]]="-",0,COUNTA(_xlfn.UNIQUE(_xlfn._xlws.FILTER(TripTable[Country], (TripTable[Year]=ByYearTable[[#This Row],[Year]])*(TripTable[Country]&lt;&gt;"")))))</f>
        <v>0</v>
      </c>
      <c r="C7" s="6" cm="1">
        <f t="array" ref="C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7" s="21" t="str" cm="1">
        <f t="array" ref="D7">IFERROR(_xlfn.TEXTJOIN("; ", TRUE, _xlfn.UNIQUE(_xlfn._xlws.FILTER(TripTable[Country], (TripTable[Year]=ByYearTable[[#This Row],[Year]])*(TripTable[Country]&lt;&gt;"")))),"-")</f>
        <v>-</v>
      </c>
      <c r="E7" s="21" t="str" cm="1">
        <f t="array" ref="E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8" spans="1:5" x14ac:dyDescent="0.25">
      <c r="A8" s="6">
        <v>2016</v>
      </c>
      <c r="B8" s="6" cm="1">
        <f t="array" ref="B8">IF(ByYearTable[[#This Row],[Countries]]="-",0,COUNTA(_xlfn.UNIQUE(_xlfn._xlws.FILTER(TripTable[Country], (TripTable[Year]=ByYearTable[[#This Row],[Year]])*(TripTable[Country]&lt;&gt;"")))))</f>
        <v>0</v>
      </c>
      <c r="C8" s="6" cm="1">
        <f t="array" ref="C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8" s="21" t="str" cm="1">
        <f t="array" ref="D8">IFERROR(_xlfn.TEXTJOIN("; ", TRUE, _xlfn.UNIQUE(_xlfn._xlws.FILTER(TripTable[Country], (TripTable[Year]=ByYearTable[[#This Row],[Year]])*(TripTable[Country]&lt;&gt;"")))),"-")</f>
        <v>-</v>
      </c>
      <c r="E8" s="21" t="str" cm="1">
        <f t="array" ref="E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9" spans="1:5" x14ac:dyDescent="0.25">
      <c r="A9" s="6">
        <v>2017</v>
      </c>
      <c r="B9" s="6" cm="1">
        <f t="array" ref="B9">IF(ByYearTable[[#This Row],[Countries]]="-",0,COUNTA(_xlfn.UNIQUE(_xlfn._xlws.FILTER(TripTable[Country], (TripTable[Year]=ByYearTable[[#This Row],[Year]])*(TripTable[Country]&lt;&gt;"")))))</f>
        <v>0</v>
      </c>
      <c r="C9" s="6" cm="1">
        <f t="array" ref="C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9" s="21" t="str" cm="1">
        <f t="array" ref="D9">IFERROR(_xlfn.TEXTJOIN("; ", TRUE, _xlfn.UNIQUE(_xlfn._xlws.FILTER(TripTable[Country], (TripTable[Year]=ByYearTable[[#This Row],[Year]])*(TripTable[Country]&lt;&gt;"")))),"-")</f>
        <v>-</v>
      </c>
      <c r="E9" s="21" t="str" cm="1">
        <f t="array" ref="E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0" spans="1:5" x14ac:dyDescent="0.25">
      <c r="A10" s="6">
        <v>2018</v>
      </c>
      <c r="B10" s="6" cm="1">
        <f t="array" ref="B10">IF(ByYearTable[[#This Row],[Countries]]="-",0,COUNTA(_xlfn.UNIQUE(_xlfn._xlws.FILTER(TripTable[Country], (TripTable[Year]=ByYearTable[[#This Row],[Year]])*(TripTable[Country]&lt;&gt;"")))))</f>
        <v>0</v>
      </c>
      <c r="C10" s="6" cm="1">
        <f t="array" ref="C10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0" s="21" t="str" cm="1">
        <f t="array" ref="D10">IFERROR(_xlfn.TEXTJOIN("; ", TRUE, _xlfn.UNIQUE(_xlfn._xlws.FILTER(TripTable[Country], (TripTable[Year]=ByYearTable[[#This Row],[Year]])*(TripTable[Country]&lt;&gt;"")))),"-")</f>
        <v>-</v>
      </c>
      <c r="E10" s="21" t="str" cm="1">
        <f t="array" ref="E10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1" spans="1:5" x14ac:dyDescent="0.25">
      <c r="A11" s="6">
        <v>2019</v>
      </c>
      <c r="B11" s="6" cm="1">
        <f t="array" ref="B11">IF(ByYearTable[[#This Row],[Countries]]="-",0,COUNTA(_xlfn.UNIQUE(_xlfn._xlws.FILTER(TripTable[Country], (TripTable[Year]=ByYearTable[[#This Row],[Year]])*(TripTable[Country]&lt;&gt;"")))))</f>
        <v>0</v>
      </c>
      <c r="C11" s="6" cm="1">
        <f t="array" ref="C11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1" s="21" t="str" cm="1">
        <f t="array" ref="D11">IFERROR(_xlfn.TEXTJOIN("; ", TRUE, _xlfn.UNIQUE(_xlfn._xlws.FILTER(TripTable[Country], (TripTable[Year]=ByYearTable[[#This Row],[Year]])*(TripTable[Country]&lt;&gt;"")))),"-")</f>
        <v>-</v>
      </c>
      <c r="E11" s="21" t="str" cm="1">
        <f t="array" ref="E11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2" spans="1:5" x14ac:dyDescent="0.25">
      <c r="A12" s="6">
        <v>2020</v>
      </c>
      <c r="B12" s="6" cm="1">
        <f t="array" ref="B12">IF(ByYearTable[[#This Row],[Countries]]="-",0,COUNTA(_xlfn.UNIQUE(_xlfn._xlws.FILTER(TripTable[Country], (TripTable[Year]=ByYearTable[[#This Row],[Year]])*(TripTable[Country]&lt;&gt;"")))))</f>
        <v>0</v>
      </c>
      <c r="C12" s="6" cm="1">
        <f t="array" ref="C12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2" s="21" t="str" cm="1">
        <f t="array" ref="D12">IFERROR(_xlfn.TEXTJOIN("; ", TRUE, _xlfn.UNIQUE(_xlfn._xlws.FILTER(TripTable[Country], (TripTable[Year]=ByYearTable[[#This Row],[Year]])*(TripTable[Country]&lt;&gt;"")))),"-")</f>
        <v>-</v>
      </c>
      <c r="E12" s="21" t="str" cm="1">
        <f t="array" ref="E12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3" spans="1:5" x14ac:dyDescent="0.25">
      <c r="A13" s="6">
        <v>2021</v>
      </c>
      <c r="B13" s="6" cm="1">
        <f t="array" ref="B13">IF(ByYearTable[[#This Row],[Countries]]="-",0,COUNTA(_xlfn.UNIQUE(_xlfn._xlws.FILTER(TripTable[Country], (TripTable[Year]=ByYearTable[[#This Row],[Year]])*(TripTable[Country]&lt;&gt;"")))))</f>
        <v>0</v>
      </c>
      <c r="C13" s="6" cm="1">
        <f t="array" ref="C13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3" s="21" t="str" cm="1">
        <f t="array" ref="D13">IFERROR(_xlfn.TEXTJOIN("; ", TRUE, _xlfn.UNIQUE(_xlfn._xlws.FILTER(TripTable[Country], (TripTable[Year]=ByYearTable[[#This Row],[Year]])*(TripTable[Country]&lt;&gt;"")))),"-")</f>
        <v>-</v>
      </c>
      <c r="E13" s="21" t="str" cm="1">
        <f t="array" ref="E13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4" spans="1:5" x14ac:dyDescent="0.25">
      <c r="A14" s="6">
        <v>2022</v>
      </c>
      <c r="B14" s="6" cm="1">
        <f t="array" ref="B14">IF(ByYearTable[[#This Row],[Countries]]="-",0,COUNTA(_xlfn.UNIQUE(_xlfn._xlws.FILTER(TripTable[Country], (TripTable[Year]=ByYearTable[[#This Row],[Year]])*(TripTable[Country]&lt;&gt;"")))))</f>
        <v>0</v>
      </c>
      <c r="C14" s="6" cm="1">
        <f t="array" ref="C14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4" s="21" t="str" cm="1">
        <f t="array" ref="D14">IFERROR(_xlfn.TEXTJOIN("; ", TRUE, _xlfn.UNIQUE(_xlfn._xlws.FILTER(TripTable[Country], (TripTable[Year]=ByYearTable[[#This Row],[Year]])*(TripTable[Country]&lt;&gt;"")))),"-")</f>
        <v>-</v>
      </c>
      <c r="E14" s="21" t="str" cm="1">
        <f t="array" ref="E14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5" spans="1:5" x14ac:dyDescent="0.25">
      <c r="A15" s="6">
        <v>2023</v>
      </c>
      <c r="B15" s="6" cm="1">
        <f t="array" ref="B15">IF(ByYearTable[[#This Row],[Countries]]="-",0,COUNTA(_xlfn.UNIQUE(_xlfn._xlws.FILTER(TripTable[Country], (TripTable[Year]=ByYearTable[[#This Row],[Year]])*(TripTable[Country]&lt;&gt;"")))))</f>
        <v>0</v>
      </c>
      <c r="C15" s="6" cm="1">
        <f t="array" ref="C15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5" s="21" t="str" cm="1">
        <f t="array" ref="D15">IFERROR(_xlfn.TEXTJOIN("; ", TRUE, _xlfn.UNIQUE(_xlfn._xlws.FILTER(TripTable[Country], (TripTable[Year]=ByYearTable[[#This Row],[Year]])*(TripTable[Country]&lt;&gt;"")))),"-")</f>
        <v>-</v>
      </c>
      <c r="E15" s="21" t="str" cm="1">
        <f t="array" ref="E15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6" spans="1:5" x14ac:dyDescent="0.25">
      <c r="A16" s="6">
        <v>2024</v>
      </c>
      <c r="B16" s="6" cm="1">
        <f t="array" ref="B16">IF(ByYearTable[[#This Row],[Countries]]="-",0,COUNTA(_xlfn.UNIQUE(_xlfn._xlws.FILTER(TripTable[Country], (TripTable[Year]=ByYearTable[[#This Row],[Year]])*(TripTable[Country]&lt;&gt;"")))))</f>
        <v>0</v>
      </c>
      <c r="C16" s="6" cm="1">
        <f t="array" ref="C16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6" s="21" t="str" cm="1">
        <f t="array" ref="D16">IFERROR(_xlfn.TEXTJOIN("; ", TRUE, _xlfn.UNIQUE(_xlfn._xlws.FILTER(TripTable[Country], (TripTable[Year]=ByYearTable[[#This Row],[Year]])*(TripTable[Country]&lt;&gt;"")))),"-")</f>
        <v>-</v>
      </c>
      <c r="E16" s="21" t="str" cm="1">
        <f t="array" ref="E16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7" spans="1:5" x14ac:dyDescent="0.25">
      <c r="A17" s="6">
        <v>2025</v>
      </c>
      <c r="B17" s="6" cm="1">
        <f t="array" ref="B17">IF(ByYearTable[[#This Row],[Countries]]="-",0,COUNTA(_xlfn.UNIQUE(_xlfn._xlws.FILTER(TripTable[Country], (TripTable[Year]=ByYearTable[[#This Row],[Year]])*(TripTable[Country]&lt;&gt;"")))))</f>
        <v>0</v>
      </c>
      <c r="C17" s="6" cm="1">
        <f t="array" ref="C17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7" s="21" t="str" cm="1">
        <f t="array" ref="D17">IFERROR(_xlfn.TEXTJOIN("; ", TRUE, _xlfn.UNIQUE(_xlfn._xlws.FILTER(TripTable[Country], (TripTable[Year]=ByYearTable[[#This Row],[Year]])*(TripTable[Country]&lt;&gt;"")))),"-")</f>
        <v>-</v>
      </c>
      <c r="E17" s="21" t="str" cm="1">
        <f t="array" ref="E17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8" spans="1:5" x14ac:dyDescent="0.25">
      <c r="A18" s="6">
        <v>2026</v>
      </c>
      <c r="B18" s="6" cm="1">
        <f t="array" ref="B18">IF(ByYearTable[[#This Row],[Countries]]="-",0,COUNTA(_xlfn.UNIQUE(_xlfn._xlws.FILTER(TripTable[Country], (TripTable[Year]=ByYearTable[[#This Row],[Year]])*(TripTable[Country]&lt;&gt;"")))))</f>
        <v>0</v>
      </c>
      <c r="C18" s="6" cm="1">
        <f t="array" ref="C18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8" s="21" t="str" cm="1">
        <f t="array" ref="D18">IFERROR(_xlfn.TEXTJOIN("; ", TRUE, _xlfn.UNIQUE(_xlfn._xlws.FILTER(TripTable[Country], (TripTable[Year]=ByYearTable[[#This Row],[Year]])*(TripTable[Country]&lt;&gt;"")))),"-")</f>
        <v>-</v>
      </c>
      <c r="E18" s="21" t="str" cm="1">
        <f t="array" ref="E18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  <row r="19" spans="1:5" x14ac:dyDescent="0.25">
      <c r="A19" s="6">
        <v>2027</v>
      </c>
      <c r="B19" s="6" cm="1">
        <f t="array" ref="B19">IF(ByYearTable[[#This Row],[Countries]]="-",0,COUNTA(_xlfn.UNIQUE(_xlfn._xlws.FILTER(TripTable[Country], (TripTable[Year]=ByYearTable[[#This Row],[Year]])*(TripTable[Country]&lt;&gt;"")))))</f>
        <v>0</v>
      </c>
      <c r="C19" s="6" cm="1">
        <f t="array" ref="C19">IF(ByYearTable[[#This Row],[New Countries]]="-",0,COUNTA(_xlfn.UNIQUE(_xlfn._xlws.FILTER(TripTable[Country],(TripTable[Year]=ByYearTable[[#This Row],[Year]])*(TripTable[Year]=_xlfn.MAP(TripTable[Country],_xlfn.LAMBDA(_xlpm.c,_xlfn.MINIFS(TripTable[Year],TripTable[Country],_xlpm.c))))
))))</f>
        <v>0</v>
      </c>
      <c r="D19" s="21" t="str" cm="1">
        <f t="array" ref="D19">IFERROR(_xlfn.TEXTJOIN("; ", TRUE, _xlfn.UNIQUE(_xlfn._xlws.FILTER(TripTable[Country], (TripTable[Year]=ByYearTable[[#This Row],[Year]])*(TripTable[Country]&lt;&gt;"")))),"-")</f>
        <v>-</v>
      </c>
      <c r="E19" s="21" t="str" cm="1">
        <f t="array" ref="E19">IFERROR(_xlfn.TEXTJOIN("; ",TRUE, _xlfn.UNIQUE(_xlfn._xlws.FILTER(TripTable[Country],(TripTable[Year]=ByYearTable[[#This Row],[Year]])*(TripTable[Year]=_xlfn.MAP(TripTable[Country],_xlfn.LAMBDA(_xlpm.c,_xlfn.MINIFS(TripTable[Year],TripTable[Country], _xlpm.c))))
))), "-")</f>
        <v>-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B87190-7CF5-4F5A-9B37-35008F99E7C9}">
  <sheetPr codeName="Tabelle3">
    <tabColor theme="4" tint="-0.499984740745262"/>
  </sheetPr>
  <dimension ref="A1:I2"/>
  <sheetViews>
    <sheetView showOutlineSymbols="0" showWhiteSpace="0" topLeftCell="C1" workbookViewId="0">
      <pane ySplit="1" topLeftCell="A2" activePane="bottomLeft" state="frozen"/>
      <selection pane="bottomLeft" activeCell="C6" sqref="C6"/>
    </sheetView>
  </sheetViews>
  <sheetFormatPr baseColWidth="10" defaultRowHeight="12.5" x14ac:dyDescent="0.25"/>
  <cols>
    <col min="1" max="1" width="18.81640625" style="6" bestFit="1" customWidth="1"/>
    <col min="2" max="2" width="40.1796875" style="6" bestFit="1" customWidth="1"/>
    <col min="3" max="3" width="9.453125" style="6" bestFit="1" customWidth="1"/>
    <col min="4" max="4" width="15.1796875" style="6" bestFit="1" customWidth="1"/>
    <col min="5" max="5" width="8.1796875" style="11" bestFit="1" customWidth="1"/>
    <col min="6" max="6" width="9" style="11" bestFit="1" customWidth="1"/>
    <col min="7" max="7" width="14.81640625" style="6" bestFit="1" customWidth="1"/>
    <col min="8" max="8" width="11.81640625" style="6" bestFit="1" customWidth="1"/>
    <col min="9" max="9" width="63.81640625" style="13" bestFit="1" customWidth="1"/>
  </cols>
  <sheetData>
    <row r="1" spans="1:9" x14ac:dyDescent="0.25">
      <c r="A1" s="7" t="s">
        <v>35</v>
      </c>
      <c r="B1" s="7" t="s">
        <v>36</v>
      </c>
      <c r="C1" s="7" t="s">
        <v>75</v>
      </c>
      <c r="D1" s="7" t="s">
        <v>85</v>
      </c>
      <c r="E1" s="10" t="s">
        <v>59</v>
      </c>
      <c r="F1" s="10" t="s">
        <v>66</v>
      </c>
      <c r="G1" s="7" t="s">
        <v>173</v>
      </c>
      <c r="H1" s="7" t="s">
        <v>174</v>
      </c>
      <c r="I1" s="5" t="s">
        <v>68</v>
      </c>
    </row>
    <row r="2" spans="1:9" x14ac:dyDescent="0.25">
      <c r="A2" s="35" t="str" cm="1">
        <f t="array" ref="A2">GetAirportField(AirportTable[[#This Row],[IATA Code]],"city")</f>
        <v>Anchor Point</v>
      </c>
      <c r="B2" s="35" t="str" cm="1">
        <f t="array" ref="B2">GetAirportField(AirportTable[[#This Row],[IATA Code]],"name")</f>
        <v>Lowell Field</v>
      </c>
      <c r="C2" s="35" t="str" cm="1">
        <f t="array" ref="C2">GetAirportField(AirportTable[[#This Row],[IATA Code]],"country")</f>
        <v>US</v>
      </c>
      <c r="D2" s="7"/>
      <c r="E2" s="11" cm="1">
        <f t="array" ref="E2">GetAirportField(AirportTable[[#This Row],[IATA Code]],"lat")</f>
        <v>59.94919968</v>
      </c>
      <c r="F2" s="11" cm="1">
        <f t="array" ref="F2">GetAirportField(AirportTable[[#This Row],[IATA Code]],"lon")</f>
        <v>-151.69599914599999</v>
      </c>
      <c r="G2" s="33">
        <f>COUNTIF(Flights!D:D,AirportTable[[#This Row],[IATA Code]])</f>
        <v>0</v>
      </c>
      <c r="H2" s="33">
        <f>COUNTIF(Flights!E:E,AirportTable[[#This Row],[IATA Code]])</f>
        <v>0</v>
      </c>
      <c r="I2" s="12" t="str">
        <f>"https://en.wikipedia.org/wiki/" &amp; SUBSTITUTE(AirportTable[[#This Row],[Full Name]]," ","_")</f>
        <v>https://en.wikipedia.org/wiki/Lowell_Field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E8427-E829-498E-A5A6-BA97DFDBFCFA}">
  <sheetPr codeName="Tabelle2">
    <tabColor theme="4" tint="-0.249977111117893"/>
  </sheetPr>
  <dimension ref="A1:L2"/>
  <sheetViews>
    <sheetView showOutlineSymbols="0" showWhiteSpace="0" workbookViewId="0">
      <pane ySplit="1" topLeftCell="A2" activePane="bottomLeft" state="frozen"/>
      <selection pane="bottomLeft" activeCell="D10" sqref="D10"/>
    </sheetView>
  </sheetViews>
  <sheetFormatPr baseColWidth="10" defaultRowHeight="12.5" x14ac:dyDescent="0.25"/>
  <cols>
    <col min="1" max="1" width="10.81640625" style="15"/>
    <col min="2" max="2" width="7.453125" bestFit="1" customWidth="1"/>
    <col min="3" max="3" width="8.81640625" bestFit="1" customWidth="1"/>
    <col min="4" max="4" width="13.7265625" bestFit="1" customWidth="1"/>
    <col min="5" max="5" width="18.453125" bestFit="1" customWidth="1"/>
    <col min="6" max="6" width="15.7265625" bestFit="1" customWidth="1"/>
    <col min="7" max="7" width="16.7265625" bestFit="1" customWidth="1"/>
    <col min="8" max="8" width="17.81640625" bestFit="1" customWidth="1"/>
    <col min="9" max="9" width="21.1796875" bestFit="1" customWidth="1"/>
    <col min="10" max="10" width="16" bestFit="1" customWidth="1"/>
    <col min="11" max="11" width="11.453125" customWidth="1"/>
    <col min="12" max="12" width="31" customWidth="1"/>
  </cols>
  <sheetData>
    <row r="1" spans="1:12" x14ac:dyDescent="0.25">
      <c r="A1" s="14" t="s">
        <v>93</v>
      </c>
      <c r="B1" s="2" t="s">
        <v>71</v>
      </c>
      <c r="C1" s="2" t="s">
        <v>25</v>
      </c>
      <c r="D1" s="2" t="s">
        <v>79</v>
      </c>
      <c r="E1" s="2" t="s">
        <v>80</v>
      </c>
      <c r="F1" s="2" t="s">
        <v>81</v>
      </c>
      <c r="G1" s="2" t="s">
        <v>82</v>
      </c>
      <c r="H1" s="2" t="s">
        <v>83</v>
      </c>
      <c r="I1" s="2" t="s">
        <v>84</v>
      </c>
      <c r="J1" s="2" t="s">
        <v>88</v>
      </c>
      <c r="K1" s="2" t="s">
        <v>94</v>
      </c>
      <c r="L1" s="2" t="s">
        <v>72</v>
      </c>
    </row>
    <row r="2" spans="1:12" x14ac:dyDescent="0.25">
      <c r="A2" s="15" t="e">
        <f>DATE(FlightTable[[#This Row],[Year]],FlightTable[[#This Row],[Month]],1)</f>
        <v>#NUM!</v>
      </c>
      <c r="B2" s="2"/>
      <c r="D2" s="2"/>
      <c r="E2" s="2"/>
      <c r="F2" s="2"/>
      <c r="G2" s="2"/>
      <c r="H2" s="2"/>
      <c r="I2" s="2"/>
      <c r="J2" s="2"/>
      <c r="K2" s="36" t="str">
        <f>_xlfn.XLOOKUP(FlightTable[[#This Row],[Airline]], AirlineTable[Name], AirlineTable[ICAO], "")</f>
        <v/>
      </c>
      <c r="L2" s="2"/>
    </row>
  </sheetData>
  <pageMargins left="0.7" right="0.7" top="0.78740157499999996" bottom="0.78740157499999996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C2576E-87E9-4E9C-A6EE-6913E8FE23FC}">
  <sheetPr codeName="Tabelle8">
    <tabColor theme="4" tint="0.39997558519241921"/>
  </sheetPr>
  <dimension ref="A1:G34"/>
  <sheetViews>
    <sheetView workbookViewId="0">
      <pane ySplit="1" topLeftCell="A2" activePane="bottomLeft" state="frozen"/>
      <selection pane="bottomLeft" activeCell="G8" sqref="G8"/>
    </sheetView>
  </sheetViews>
  <sheetFormatPr baseColWidth="10" defaultRowHeight="12.5" x14ac:dyDescent="0.25"/>
  <cols>
    <col min="3" max="3" width="23.453125" bestFit="1" customWidth="1"/>
    <col min="4" max="4" width="17.81640625" bestFit="1" customWidth="1"/>
    <col min="5" max="5" width="16.453125" customWidth="1"/>
    <col min="6" max="6" width="20.54296875" customWidth="1"/>
  </cols>
  <sheetData>
    <row r="1" spans="1:7" x14ac:dyDescent="0.25">
      <c r="A1" t="s">
        <v>95</v>
      </c>
      <c r="B1" t="s">
        <v>94</v>
      </c>
      <c r="C1" t="s">
        <v>65</v>
      </c>
      <c r="D1" t="s">
        <v>0</v>
      </c>
      <c r="E1" s="2" t="s">
        <v>153</v>
      </c>
      <c r="F1" t="s">
        <v>182</v>
      </c>
    </row>
    <row r="2" spans="1:7" x14ac:dyDescent="0.25">
      <c r="A2" s="2" t="s">
        <v>135</v>
      </c>
      <c r="B2" s="2" t="s">
        <v>134</v>
      </c>
      <c r="C2" s="2" t="s">
        <v>133</v>
      </c>
      <c r="D2" s="2" t="s">
        <v>9</v>
      </c>
      <c r="E2" s="2" t="s">
        <v>48</v>
      </c>
      <c r="F2" s="16" t="s">
        <v>199</v>
      </c>
      <c r="G2" t="s">
        <v>183</v>
      </c>
    </row>
    <row r="3" spans="1:7" x14ac:dyDescent="0.25">
      <c r="A3" t="s">
        <v>41</v>
      </c>
      <c r="B3" t="s">
        <v>98</v>
      </c>
      <c r="C3" t="s">
        <v>99</v>
      </c>
      <c r="D3" t="s">
        <v>3</v>
      </c>
      <c r="E3" t="s">
        <v>29</v>
      </c>
      <c r="F3" s="16" t="s">
        <v>186</v>
      </c>
      <c r="G3" t="s">
        <v>183</v>
      </c>
    </row>
    <row r="4" spans="1:7" x14ac:dyDescent="0.25">
      <c r="A4" t="s">
        <v>101</v>
      </c>
      <c r="B4" t="s">
        <v>100</v>
      </c>
      <c r="C4" t="s">
        <v>89</v>
      </c>
      <c r="D4" t="s">
        <v>18</v>
      </c>
      <c r="E4" t="s">
        <v>53</v>
      </c>
      <c r="F4" s="16" t="s">
        <v>187</v>
      </c>
      <c r="G4" t="s">
        <v>183</v>
      </c>
    </row>
    <row r="5" spans="1:7" x14ac:dyDescent="0.25">
      <c r="A5" s="2" t="s">
        <v>136</v>
      </c>
      <c r="B5" s="2" t="s">
        <v>137</v>
      </c>
      <c r="C5" s="2" t="s">
        <v>138</v>
      </c>
      <c r="D5" s="2" t="s">
        <v>10</v>
      </c>
      <c r="E5" s="2" t="s">
        <v>87</v>
      </c>
      <c r="F5" s="17" t="s">
        <v>200</v>
      </c>
      <c r="G5" t="s">
        <v>183</v>
      </c>
    </row>
    <row r="6" spans="1:7" x14ac:dyDescent="0.25">
      <c r="A6" s="2" t="s">
        <v>50</v>
      </c>
      <c r="B6" s="2" t="s">
        <v>166</v>
      </c>
      <c r="C6" s="2" t="s">
        <v>165</v>
      </c>
      <c r="D6" s="2" t="s">
        <v>13</v>
      </c>
      <c r="E6" s="2" t="s">
        <v>51</v>
      </c>
      <c r="F6" s="17" t="s">
        <v>213</v>
      </c>
      <c r="G6" t="s">
        <v>183</v>
      </c>
    </row>
    <row r="7" spans="1:7" x14ac:dyDescent="0.25">
      <c r="A7" t="s">
        <v>104</v>
      </c>
      <c r="B7" t="s">
        <v>103</v>
      </c>
      <c r="C7" t="s">
        <v>102</v>
      </c>
      <c r="D7" t="s">
        <v>2</v>
      </c>
      <c r="E7" t="s">
        <v>34</v>
      </c>
      <c r="F7" s="16" t="s">
        <v>188</v>
      </c>
      <c r="G7" t="s">
        <v>183</v>
      </c>
    </row>
    <row r="8" spans="1:7" x14ac:dyDescent="0.25">
      <c r="A8" s="2" t="s">
        <v>168</v>
      </c>
      <c r="B8" s="2" t="s">
        <v>169</v>
      </c>
      <c r="C8" s="2" t="s">
        <v>167</v>
      </c>
      <c r="D8" s="2" t="s">
        <v>5</v>
      </c>
      <c r="E8" s="2" t="s">
        <v>31</v>
      </c>
      <c r="F8" s="17" t="s">
        <v>216</v>
      </c>
      <c r="G8" t="s">
        <v>183</v>
      </c>
    </row>
    <row r="9" spans="1:7" x14ac:dyDescent="0.25">
      <c r="A9" s="2" t="s">
        <v>178</v>
      </c>
      <c r="B9" s="2" t="s">
        <v>179</v>
      </c>
      <c r="C9" s="2" t="s">
        <v>177</v>
      </c>
      <c r="D9" s="2" t="s">
        <v>3</v>
      </c>
      <c r="E9" s="2" t="s">
        <v>33</v>
      </c>
      <c r="F9" s="17" t="s">
        <v>214</v>
      </c>
      <c r="G9" t="s">
        <v>183</v>
      </c>
    </row>
    <row r="10" spans="1:7" x14ac:dyDescent="0.25">
      <c r="A10" s="2" t="s">
        <v>45</v>
      </c>
      <c r="B10" s="2" t="s">
        <v>181</v>
      </c>
      <c r="C10" s="2" t="s">
        <v>180</v>
      </c>
      <c r="D10" s="2" t="s">
        <v>3</v>
      </c>
      <c r="E10" s="2" t="s">
        <v>44</v>
      </c>
      <c r="F10" s="17" t="s">
        <v>215</v>
      </c>
      <c r="G10" t="s">
        <v>183</v>
      </c>
    </row>
    <row r="11" spans="1:7" x14ac:dyDescent="0.25">
      <c r="A11" s="2" t="s">
        <v>223</v>
      </c>
      <c r="B11" s="2" t="s">
        <v>224</v>
      </c>
      <c r="C11" s="2" t="s">
        <v>222</v>
      </c>
      <c r="D11" s="2" t="s">
        <v>3</v>
      </c>
      <c r="E11" s="2" t="s">
        <v>43</v>
      </c>
      <c r="F11" s="17" t="s">
        <v>225</v>
      </c>
      <c r="G11" t="s">
        <v>183</v>
      </c>
    </row>
    <row r="12" spans="1:7" x14ac:dyDescent="0.25">
      <c r="A12" t="s">
        <v>105</v>
      </c>
      <c r="B12" t="s">
        <v>106</v>
      </c>
      <c r="C12" t="s">
        <v>90</v>
      </c>
      <c r="D12" t="s">
        <v>14</v>
      </c>
      <c r="E12" t="s">
        <v>67</v>
      </c>
      <c r="F12" s="16" t="s">
        <v>189</v>
      </c>
      <c r="G12" t="s">
        <v>183</v>
      </c>
    </row>
    <row r="13" spans="1:7" x14ac:dyDescent="0.25">
      <c r="A13" s="2" t="s">
        <v>125</v>
      </c>
      <c r="B13" s="2" t="s">
        <v>124</v>
      </c>
      <c r="C13" s="2" t="s">
        <v>123</v>
      </c>
      <c r="D13" s="2" t="s">
        <v>23</v>
      </c>
      <c r="E13" s="2" t="s">
        <v>62</v>
      </c>
      <c r="F13" s="16" t="s">
        <v>196</v>
      </c>
      <c r="G13" t="s">
        <v>183</v>
      </c>
    </row>
    <row r="14" spans="1:7" x14ac:dyDescent="0.25">
      <c r="A14" s="2" t="s">
        <v>171</v>
      </c>
      <c r="B14" s="2" t="s">
        <v>172</v>
      </c>
      <c r="C14" s="2" t="s">
        <v>170</v>
      </c>
      <c r="D14" s="2" t="s">
        <v>22</v>
      </c>
      <c r="E14" s="2" t="s">
        <v>32</v>
      </c>
      <c r="F14" s="17" t="s">
        <v>217</v>
      </c>
      <c r="G14" t="s">
        <v>183</v>
      </c>
    </row>
    <row r="15" spans="1:7" x14ac:dyDescent="0.25">
      <c r="A15" s="2" t="s">
        <v>122</v>
      </c>
      <c r="B15" s="2" t="s">
        <v>21</v>
      </c>
      <c r="C15" s="2" t="s">
        <v>121</v>
      </c>
      <c r="D15" s="2" t="s">
        <v>57</v>
      </c>
      <c r="E15" s="2" t="s">
        <v>28</v>
      </c>
      <c r="F15" s="16" t="s">
        <v>195</v>
      </c>
      <c r="G15" t="s">
        <v>183</v>
      </c>
    </row>
    <row r="16" spans="1:7" x14ac:dyDescent="0.25">
      <c r="A16" t="s">
        <v>113</v>
      </c>
      <c r="B16" t="s">
        <v>114</v>
      </c>
      <c r="C16" t="s">
        <v>112</v>
      </c>
      <c r="D16" t="s">
        <v>4</v>
      </c>
      <c r="E16" t="s">
        <v>86</v>
      </c>
      <c r="F16" s="16" t="s">
        <v>191</v>
      </c>
      <c r="G16" t="s">
        <v>183</v>
      </c>
    </row>
    <row r="17" spans="1:7" x14ac:dyDescent="0.25">
      <c r="A17" t="s">
        <v>175</v>
      </c>
      <c r="B17" t="s">
        <v>127</v>
      </c>
      <c r="C17" t="s">
        <v>126</v>
      </c>
      <c r="D17" t="s">
        <v>4</v>
      </c>
      <c r="E17" t="s">
        <v>176</v>
      </c>
      <c r="F17" s="16" t="s">
        <v>192</v>
      </c>
      <c r="G17" t="s">
        <v>183</v>
      </c>
    </row>
    <row r="18" spans="1:7" x14ac:dyDescent="0.25">
      <c r="A18" s="2" t="s">
        <v>140</v>
      </c>
      <c r="B18" s="2" t="s">
        <v>141</v>
      </c>
      <c r="C18" s="2" t="s">
        <v>139</v>
      </c>
      <c r="D18" s="2" t="s">
        <v>18</v>
      </c>
      <c r="E18" s="2" t="s">
        <v>53</v>
      </c>
      <c r="F18" s="17" t="s">
        <v>201</v>
      </c>
      <c r="G18" t="s">
        <v>183</v>
      </c>
    </row>
    <row r="19" spans="1:7" x14ac:dyDescent="0.25">
      <c r="A19" s="2" t="s">
        <v>160</v>
      </c>
      <c r="B19" s="2" t="s">
        <v>161</v>
      </c>
      <c r="C19" s="2" t="s">
        <v>159</v>
      </c>
      <c r="D19" s="2" t="s">
        <v>12</v>
      </c>
      <c r="E19" s="2" t="s">
        <v>49</v>
      </c>
      <c r="F19" s="17" t="s">
        <v>211</v>
      </c>
      <c r="G19" t="s">
        <v>183</v>
      </c>
    </row>
    <row r="20" spans="1:7" x14ac:dyDescent="0.25">
      <c r="A20" s="2" t="s">
        <v>118</v>
      </c>
      <c r="B20" s="2" t="s">
        <v>119</v>
      </c>
      <c r="C20" s="2" t="s">
        <v>120</v>
      </c>
      <c r="D20" s="2" t="s">
        <v>22</v>
      </c>
      <c r="E20" s="2" t="s">
        <v>58</v>
      </c>
      <c r="F20" s="16" t="s">
        <v>194</v>
      </c>
      <c r="G20" t="s">
        <v>183</v>
      </c>
    </row>
    <row r="21" spans="1:7" x14ac:dyDescent="0.25">
      <c r="A21" t="s">
        <v>116</v>
      </c>
      <c r="B21" t="s">
        <v>117</v>
      </c>
      <c r="C21" t="s">
        <v>115</v>
      </c>
      <c r="D21" t="s">
        <v>15</v>
      </c>
      <c r="E21" t="s">
        <v>30</v>
      </c>
      <c r="F21" s="16" t="s">
        <v>193</v>
      </c>
      <c r="G21" t="s">
        <v>183</v>
      </c>
    </row>
    <row r="22" spans="1:7" x14ac:dyDescent="0.25">
      <c r="A22" t="s">
        <v>96</v>
      </c>
      <c r="B22" t="s">
        <v>97</v>
      </c>
      <c r="C22" t="s">
        <v>91</v>
      </c>
      <c r="D22" t="s">
        <v>4</v>
      </c>
      <c r="E22" t="s">
        <v>47</v>
      </c>
      <c r="F22" s="16" t="s">
        <v>185</v>
      </c>
      <c r="G22" t="s">
        <v>183</v>
      </c>
    </row>
    <row r="23" spans="1:7" x14ac:dyDescent="0.25">
      <c r="A23" t="s">
        <v>46</v>
      </c>
      <c r="B23" t="s">
        <v>111</v>
      </c>
      <c r="C23" t="s">
        <v>110</v>
      </c>
      <c r="D23" t="s">
        <v>7</v>
      </c>
      <c r="E23" t="s">
        <v>26</v>
      </c>
      <c r="F23" s="16" t="s">
        <v>184</v>
      </c>
      <c r="G23" t="s">
        <v>183</v>
      </c>
    </row>
    <row r="24" spans="1:7" x14ac:dyDescent="0.25">
      <c r="A24" s="2" t="s">
        <v>219</v>
      </c>
      <c r="B24" s="2" t="s">
        <v>220</v>
      </c>
      <c r="C24" s="2" t="s">
        <v>218</v>
      </c>
      <c r="D24" s="2" t="s">
        <v>3</v>
      </c>
      <c r="E24" s="2" t="s">
        <v>42</v>
      </c>
      <c r="F24" s="17" t="s">
        <v>221</v>
      </c>
      <c r="G24" t="s">
        <v>183</v>
      </c>
    </row>
    <row r="25" spans="1:7" x14ac:dyDescent="0.25">
      <c r="A25" s="2" t="s">
        <v>151</v>
      </c>
      <c r="B25" s="2" t="s">
        <v>150</v>
      </c>
      <c r="C25" s="2" t="s">
        <v>149</v>
      </c>
      <c r="D25" s="2" t="s">
        <v>20</v>
      </c>
      <c r="E25" s="2" t="s">
        <v>152</v>
      </c>
      <c r="F25" s="17" t="s">
        <v>204</v>
      </c>
      <c r="G25" t="s">
        <v>183</v>
      </c>
    </row>
    <row r="26" spans="1:7" x14ac:dyDescent="0.25">
      <c r="A26" s="2" t="s">
        <v>163</v>
      </c>
      <c r="B26" s="2" t="s">
        <v>164</v>
      </c>
      <c r="C26" s="2" t="s">
        <v>162</v>
      </c>
      <c r="D26" s="2" t="s">
        <v>19</v>
      </c>
      <c r="E26" s="2" t="s">
        <v>54</v>
      </c>
      <c r="F26" s="17" t="s">
        <v>212</v>
      </c>
      <c r="G26" t="s">
        <v>183</v>
      </c>
    </row>
    <row r="27" spans="1:7" x14ac:dyDescent="0.25">
      <c r="A27" s="2" t="s">
        <v>143</v>
      </c>
      <c r="B27" s="2" t="s">
        <v>144</v>
      </c>
      <c r="C27" s="2" t="s">
        <v>142</v>
      </c>
      <c r="D27" s="2" t="s">
        <v>16</v>
      </c>
      <c r="E27" s="2" t="s">
        <v>52</v>
      </c>
      <c r="F27" s="17" t="s">
        <v>202</v>
      </c>
      <c r="G27" t="s">
        <v>183</v>
      </c>
    </row>
    <row r="28" spans="1:7" x14ac:dyDescent="0.25">
      <c r="A28" s="2" t="s">
        <v>55</v>
      </c>
      <c r="B28" s="2" t="s">
        <v>132</v>
      </c>
      <c r="C28" s="2" t="s">
        <v>131</v>
      </c>
      <c r="D28" s="2" t="s">
        <v>17</v>
      </c>
      <c r="E28" s="2" t="s">
        <v>17</v>
      </c>
      <c r="F28" s="16" t="s">
        <v>198</v>
      </c>
      <c r="G28" t="s">
        <v>183</v>
      </c>
    </row>
    <row r="29" spans="1:7" x14ac:dyDescent="0.25">
      <c r="A29" s="2" t="s">
        <v>206</v>
      </c>
      <c r="B29" s="2" t="s">
        <v>207</v>
      </c>
      <c r="C29" s="2" t="s">
        <v>208</v>
      </c>
      <c r="D29" s="2" t="s">
        <v>20</v>
      </c>
      <c r="E29" s="2" t="s">
        <v>56</v>
      </c>
      <c r="F29" s="17" t="s">
        <v>205</v>
      </c>
      <c r="G29" t="s">
        <v>183</v>
      </c>
    </row>
    <row r="30" spans="1:7" x14ac:dyDescent="0.25">
      <c r="A30" s="2" t="s">
        <v>130</v>
      </c>
      <c r="B30" s="2" t="s">
        <v>129</v>
      </c>
      <c r="C30" s="2" t="s">
        <v>128</v>
      </c>
      <c r="D30" s="2" t="s">
        <v>23</v>
      </c>
      <c r="E30" s="2" t="s">
        <v>63</v>
      </c>
      <c r="F30" s="16" t="s">
        <v>197</v>
      </c>
      <c r="G30" t="s">
        <v>183</v>
      </c>
    </row>
    <row r="31" spans="1:7" x14ac:dyDescent="0.25">
      <c r="A31" s="2" t="s">
        <v>155</v>
      </c>
      <c r="B31" s="2" t="s">
        <v>156</v>
      </c>
      <c r="C31" s="2" t="s">
        <v>154</v>
      </c>
      <c r="D31" s="2" t="s">
        <v>8</v>
      </c>
      <c r="E31" s="2" t="s">
        <v>27</v>
      </c>
      <c r="F31" s="17" t="s">
        <v>209</v>
      </c>
      <c r="G31" t="s">
        <v>183</v>
      </c>
    </row>
    <row r="32" spans="1:7" x14ac:dyDescent="0.25">
      <c r="A32" s="2" t="s">
        <v>69</v>
      </c>
      <c r="B32" s="2" t="s">
        <v>158</v>
      </c>
      <c r="C32" s="2" t="s">
        <v>157</v>
      </c>
      <c r="D32" s="2" t="s">
        <v>24</v>
      </c>
      <c r="E32" s="2" t="s">
        <v>64</v>
      </c>
      <c r="F32" s="17" t="s">
        <v>210</v>
      </c>
      <c r="G32" s="2" t="s">
        <v>183</v>
      </c>
    </row>
    <row r="33" spans="1:7" x14ac:dyDescent="0.25">
      <c r="A33" t="s">
        <v>107</v>
      </c>
      <c r="B33" t="s">
        <v>108</v>
      </c>
      <c r="C33" t="s">
        <v>92</v>
      </c>
      <c r="D33" t="s">
        <v>11</v>
      </c>
      <c r="E33" t="s">
        <v>109</v>
      </c>
      <c r="F33" s="16" t="s">
        <v>190</v>
      </c>
      <c r="G33" s="2" t="s">
        <v>183</v>
      </c>
    </row>
    <row r="34" spans="1:7" x14ac:dyDescent="0.25">
      <c r="A34" s="2" t="s">
        <v>147</v>
      </c>
      <c r="B34" s="2" t="s">
        <v>148</v>
      </c>
      <c r="C34" s="2" t="s">
        <v>145</v>
      </c>
      <c r="D34" s="2" t="s">
        <v>6</v>
      </c>
      <c r="E34" s="2" t="s">
        <v>146</v>
      </c>
      <c r="F34" s="17" t="s">
        <v>203</v>
      </c>
      <c r="G34" s="2" t="s">
        <v>183</v>
      </c>
    </row>
  </sheetData>
  <hyperlinks>
    <hyperlink ref="F22" r:id="rId1" xr:uid="{7BC09F08-0990-4A8E-8E3A-8D5E8446806F}"/>
    <hyperlink ref="F3" r:id="rId2" xr:uid="{80558829-E5CD-4886-B199-951DFDB5BD19}"/>
    <hyperlink ref="F4" r:id="rId3" xr:uid="{A44B5D46-7967-49EF-B27E-64D574BDDBA5}"/>
    <hyperlink ref="F7" r:id="rId4" xr:uid="{BEE30837-0611-4D57-A3DA-D9B6C5AF15AB}"/>
    <hyperlink ref="F12" r:id="rId5" xr:uid="{DF21DD14-5BED-48BC-BCAA-6F624D6E2533}"/>
    <hyperlink ref="F33" r:id="rId6" xr:uid="{9FC8CEE0-B903-4E36-8E43-95A5A9174BA6}"/>
    <hyperlink ref="F23" r:id="rId7" xr:uid="{2E0F0689-5202-4C98-9F8C-48A9592BBD3B}"/>
    <hyperlink ref="F16" r:id="rId8" xr:uid="{178CBF53-CB35-4D1A-8CCB-0E18B04FE287}"/>
    <hyperlink ref="F17" r:id="rId9" xr:uid="{34205B57-0CF1-4A2B-A808-DA0BD8C77512}"/>
    <hyperlink ref="F21" r:id="rId10" xr:uid="{4BC48CC9-FB7C-4E5B-B8F1-F53D259BAD2A}"/>
    <hyperlink ref="F20" r:id="rId11" xr:uid="{D5A01341-8352-49E2-8F3F-0301CD808EAC}"/>
    <hyperlink ref="F15" r:id="rId12" xr:uid="{6440B576-38EE-4F54-BE12-2A0B03777CBE}"/>
    <hyperlink ref="F13" r:id="rId13" xr:uid="{30D2A38B-C4A1-4358-A448-121EAAEA2E4E}"/>
    <hyperlink ref="F30" r:id="rId14" xr:uid="{CA1E1726-9241-4932-A9DC-4BC21F9BB841}"/>
    <hyperlink ref="F28" r:id="rId15" xr:uid="{561E5CC1-92D8-4ED3-8452-07600CE309FB}"/>
    <hyperlink ref="F2" r:id="rId16" xr:uid="{C658B955-D649-4EE0-93A6-E90D4BDA3D4F}"/>
    <hyperlink ref="F5" r:id="rId17" xr:uid="{DF4CD894-8137-4FFF-A594-7010BA3A932A}"/>
    <hyperlink ref="F18" r:id="rId18" xr:uid="{029187AE-B931-4087-8134-32E6F730B8C7}"/>
    <hyperlink ref="F27" r:id="rId19" xr:uid="{5E97DE56-A1E7-4C93-A797-806704FF8499}"/>
    <hyperlink ref="F34" r:id="rId20" xr:uid="{4D191090-7697-45D2-9D8A-D06E061A65A5}"/>
    <hyperlink ref="F25" r:id="rId21" xr:uid="{A2245CE8-27D5-432C-B449-B1CA74F21F72}"/>
    <hyperlink ref="F31" r:id="rId22" xr:uid="{04DD1E9F-50B3-4090-9ABF-647D81CDBC6A}"/>
    <hyperlink ref="F32" r:id="rId23" xr:uid="{2D32F692-DF58-40B5-A916-69A1A78883AF}"/>
    <hyperlink ref="F19" r:id="rId24" xr:uid="{46C65D3D-3975-4293-8C8D-DA1172127ED6}"/>
    <hyperlink ref="F26" r:id="rId25" xr:uid="{685349F9-1384-489D-9936-286022128675}"/>
    <hyperlink ref="F6" r:id="rId26" xr:uid="{FE30CDB3-47FB-4570-8470-6B381A1D4ECF}"/>
    <hyperlink ref="F8" r:id="rId27" xr:uid="{89617683-FD87-4452-BF15-AFB2F303220F}"/>
    <hyperlink ref="F14" r:id="rId28" xr:uid="{E9EAA6BE-3E06-486F-8DDD-27367B8D58E1}"/>
    <hyperlink ref="F9" r:id="rId29" xr:uid="{371D8CA3-19CC-4E4B-931C-B1D35781150A}"/>
    <hyperlink ref="F10" r:id="rId30" xr:uid="{AC807BE9-B7D9-4D0A-BD11-89BBFC22695E}"/>
    <hyperlink ref="F29" r:id="rId31" xr:uid="{8D1432E7-4B82-48A4-9C63-305695DE6A7F}"/>
    <hyperlink ref="F24" r:id="rId32" xr:uid="{F6D4C1F7-F966-4C4C-B2DF-B853140A2D7E}"/>
    <hyperlink ref="F11" r:id="rId33" xr:uid="{E2E2EAC1-67E5-4CBA-B17A-E30FA5CE3A0B}"/>
  </hyperlinks>
  <pageMargins left="0.7" right="0.7" top="0.78740157499999996" bottom="0.78740157499999996" header="0.3" footer="0.3"/>
  <tableParts count="1">
    <tablePart r:id="rId3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BC55B-A262-43BC-81B6-7BDA8467EBAB}">
  <sheetPr codeName="Tabelle4"/>
  <dimension ref="A1:C1"/>
  <sheetViews>
    <sheetView workbookViewId="0">
      <selection activeCell="E18" sqref="E18"/>
    </sheetView>
  </sheetViews>
  <sheetFormatPr baseColWidth="10" defaultRowHeight="12.5" x14ac:dyDescent="0.25"/>
  <cols>
    <col min="1" max="1" width="11.453125" style="31"/>
    <col min="3" max="3" width="16.1796875" bestFit="1" customWidth="1"/>
  </cols>
  <sheetData>
    <row r="1" spans="1:3" x14ac:dyDescent="0.25">
      <c r="A1" s="31" t="e" cm="1">
        <f t="array" ref="A1">_xlfn.UNIQUE(_xlfn._xlws.FILTER(CityTable[ISO2], CityTable[Home]=TRUE))</f>
        <v>#N/A</v>
      </c>
      <c r="C1" t="str" cm="1">
        <f t="array" ref="C1">_xlfn.UNIQUE(_xlfn._xlws.FILTER(CityTable[Name], CityTable[Home]=TRUE))</f>
        <v>Berlin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Build</vt:lpstr>
      <vt:lpstr>Cities</vt:lpstr>
      <vt:lpstr>Countries</vt:lpstr>
      <vt:lpstr>Trips</vt:lpstr>
      <vt:lpstr>By Year</vt:lpstr>
      <vt:lpstr>Airports</vt:lpstr>
      <vt:lpstr>Flights</vt:lpstr>
      <vt:lpstr>Airlines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Russ</dc:creator>
  <cp:lastModifiedBy>Daniel Russ</cp:lastModifiedBy>
  <dcterms:created xsi:type="dcterms:W3CDTF">2026-08-02T10:17:24Z</dcterms:created>
  <dcterms:modified xsi:type="dcterms:W3CDTF">2026-09-10T19:03:38Z</dcterms:modified>
</cp:coreProperties>
</file>